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ntiagoPanchi\Downloads\"/>
    </mc:Choice>
  </mc:AlternateContent>
  <xr:revisionPtr revIDLastSave="0" documentId="8_{390DD9EB-6536-4861-9CB1-5956C65560A3}" xr6:coauthVersionLast="47" xr6:coauthVersionMax="47" xr10:uidLastSave="{00000000-0000-0000-0000-000000000000}"/>
  <bookViews>
    <workbookView xWindow="-108" yWindow="-108" windowWidth="23256" windowHeight="12456" firstSheet="1" activeTab="1" xr2:uid="{130184BF-6710-429A-ABA0-CD1A46D42B6F}"/>
  </bookViews>
  <sheets>
    <sheet name="PROCESO_PRACTICAS" sheetId="5" state="hidden" r:id="rId1"/>
    <sheet name="PLAZAS_LABOR_SEP_FEB_25" sheetId="1" r:id="rId2"/>
    <sheet name="CONV_FIE_VIGENTES" sheetId="3" r:id="rId3"/>
    <sheet name="CARTAS_INT_VIGEN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1" l="1"/>
  <c r="E32" i="1"/>
</calcChain>
</file>

<file path=xl/sharedStrings.xml><?xml version="1.0" encoding="utf-8"?>
<sst xmlns="http://schemas.openxmlformats.org/spreadsheetml/2006/main" count="421" uniqueCount="340">
  <si>
    <t xml:space="preserve">CONTACTO </t>
  </si>
  <si>
    <t xml:space="preserve">PLAZAS </t>
  </si>
  <si>
    <t>ACTIVIDADES</t>
  </si>
  <si>
    <t>Elicitación de requisitos
Desarrollo de Backend
Desarrollo Frontend
Diseño y gestión de base de datos</t>
  </si>
  <si>
    <t>0983341084</t>
  </si>
  <si>
    <t>022997500</t>
  </si>
  <si>
    <t>Redes y telecomunicaciones
Mantenimiento de equipos informáticos</t>
  </si>
  <si>
    <t>No.</t>
  </si>
  <si>
    <t>TELÉFONO</t>
  </si>
  <si>
    <t>HORARIOS</t>
  </si>
  <si>
    <t>Diseño y desarrollo de arquitectura de software</t>
  </si>
  <si>
    <t>Aplicativos y nuevos sistemas de inteligencia de negocios.</t>
  </si>
  <si>
    <t>INSTITUCION</t>
  </si>
  <si>
    <t>REPRESENTANTE LEGAL</t>
  </si>
  <si>
    <t>RUC</t>
  </si>
  <si>
    <t>TELEFONO</t>
  </si>
  <si>
    <t>LEGALIZACIÓN Y VIGENCIA</t>
  </si>
  <si>
    <t>VIGENCIA</t>
  </si>
  <si>
    <t>#ESTUDIANTES DE PRACTICAS</t>
  </si>
  <si>
    <t>CARTA DE INTENCIÓN ENTRE LA ESCUELA SUPERIOR POLITÉCNICA DE CHIMBORAZO Y LA ASOCIACIÓN DEL PERSONAL DE TROPA EN SERVICIO PASIVO DE LAS TRES RAMAS DE LAS FUERZAS ARMADAS CANTÓN GUANO ASOTROSEPAFAG</t>
  </si>
  <si>
    <t>ING. SAÚL VILLA UVIDIA</t>
  </si>
  <si>
    <t>CARTA DE INTENCIÓN ENTRE LA ESCUELA SUPERIOR POLITÉCNICA DE CHIMBORAZO Y CRUZ ROJA ECUATORIANA JUNTA PROVINCIAL DE CHIMBORAZO</t>
  </si>
  <si>
    <t>DR. MANUEL MONTENEGRO CASTRO</t>
  </si>
  <si>
    <t>CARTA DE INTENCIÓN ENTRE LA ESCUELA SUPERIOR POLITÉCNICA DE CHIMBORAZO Y LA EMPRESA RIOS VISION NETSURF RIOSANET S.A</t>
  </si>
  <si>
    <t>IGN. JORGE ALFREDO RIOS</t>
  </si>
  <si>
    <t>CARTA DE INTENCIÓN ENTRE LA ESCUELA SUPERIOR POLITÉCNICA DE CHIMBORAZO Y SUMICOMP RIOBAMBA</t>
  </si>
  <si>
    <t>TLGA. LUISA MARCELA VALLE ZAMBRANO</t>
  </si>
  <si>
    <t>CARTA DE INTENCIÓN ENTRE LA ESCUELA SUPERIOR POLITÉCNICA DE CHIMBORAZO Y TE&amp;TE TECHNOLOGIES</t>
  </si>
  <si>
    <t>ING. DANILO HERNANDEZ</t>
  </si>
  <si>
    <t>CARTA DE INTENCIÓN ENTRE LA ESCUELA SUPERIOR POLITÉCNICA DE CHIMBORAZO Y ACOMPASOFT</t>
  </si>
  <si>
    <t>ING. SANTIAGO YUMBLA</t>
  </si>
  <si>
    <t>CARTA DE INTENCIÓN DE LA EMPRESA FUNDACION RESCATE ECUADOR</t>
  </si>
  <si>
    <t>ING. MARCO CHACAGUASAY</t>
  </si>
  <si>
    <t>CARTA DE INTENCIÓN EMPRESA SUMICOMP</t>
  </si>
  <si>
    <t>CARTA DE INTENCIÓN DE LA COAC SAN MIGUEL DE PALLATANGA</t>
  </si>
  <si>
    <t>ECO. JUAN TENELANDA VASCONEZ</t>
  </si>
  <si>
    <t>032915327 EXT 101</t>
  </si>
  <si>
    <t>CARTA DE INTENCIÓN EMPRESA RIOSOFT369</t>
  </si>
  <si>
    <t>CARTA DE INTENCIÓN DE LA EMPRESA INDUSTRIA LOJANA DE ESPECERIAS ILE</t>
  </si>
  <si>
    <t>ING. MANUEL AGUSTIN GODOY</t>
  </si>
  <si>
    <t>CARTA DE INTENCIÓN UNIDAD EDUCATIVA FE Y ALEGRIA</t>
  </si>
  <si>
    <t>MSC. EDWIN CHAVEZ</t>
  </si>
  <si>
    <t>CARTA DE INTENCIÓN BUSINESS IT</t>
  </si>
  <si>
    <t>ING. DENNYS VILLAGOMEZ</t>
  </si>
  <si>
    <t>CARTA DE INTENCIÓN COLPOMED</t>
  </si>
  <si>
    <t>DRA. XIMENA CORONEL</t>
  </si>
  <si>
    <t>CARTA DE INTENCIÓN CON LA COOPERATIVA SAN JORGE</t>
  </si>
  <si>
    <t>ING. WILLAN SAMANIEGO</t>
  </si>
  <si>
    <t>CARTA DE INTENCIÓN CON EL GAD MUNICIPAL DE GUARANDA</t>
  </si>
  <si>
    <t>ING. NERIO OLALLA TAPIA</t>
  </si>
  <si>
    <t>CARTA DE INTENCIÓN REDCORP</t>
  </si>
  <si>
    <t>ING. GRETA CHANCUSI</t>
  </si>
  <si>
    <t>CARTA DE INTENCIÓN MAXXNET</t>
  </si>
  <si>
    <t>ING. LEONARDO BENALCAZAR</t>
  </si>
  <si>
    <t>CARTA DE INTENCIÓN FUNORSAL</t>
  </si>
  <si>
    <t>ING. VINICIO RAMIREZ</t>
  </si>
  <si>
    <t>CARTA DE INTENCIÓN CON EL GAD MUNICIPAL DEL CANTON COLTA</t>
  </si>
  <si>
    <t>TEC. SIMÓN BOLÍVAR GUALAN MULLO</t>
  </si>
  <si>
    <t>CARTA DE INTENCIÓN CON LOOGIKA S.A.</t>
  </si>
  <si>
    <t>ING. CHRISTIAN SASIG</t>
  </si>
  <si>
    <t>CARTA DE INTENCIÓN DIARIO ESPECIAL DE NOTICIAS</t>
  </si>
  <si>
    <t>ING. JOSE GONZALO PARRA ASQUI</t>
  </si>
  <si>
    <t>CARTA DE INTENCIÓN ENTRE LA ESPOCH Y CON LA URBANIZACIÓN CIUDAD BALBOA</t>
  </si>
  <si>
    <t>ARQ. WILLIAM BUENAÑO</t>
  </si>
  <si>
    <t xml:space="preserve">CARTA DE INTENCIÓN ENTRE ESPOCH Y LA UNIDAD EDUCATIVA MIGUEL ANGEL LEON </t>
  </si>
  <si>
    <t>MAG. RUBEN DARIO QUILAPA</t>
  </si>
  <si>
    <t>CARTA DE INTENCIÓN ENTRE LA ESPOCH Y LA UNIDAD EDUCATIVA EUGENIO ESPEJO</t>
  </si>
  <si>
    <t>LIC. ERIKA CECILIA AGUIRRE VELASQUEZ</t>
  </si>
  <si>
    <t>CARTA DE INTENCIÓN CON EMPRESA MUNDOTRONIC</t>
  </si>
  <si>
    <t>ING. MIGUEL GUARACA</t>
  </si>
  <si>
    <t>CARTA DE INTENCIÓN CON MEGANET</t>
  </si>
  <si>
    <t>ING. JAIME MANUEL ALULEMA PEREZ</t>
  </si>
  <si>
    <t>CARTA DE INTENCIÓN CON LA COMPAÑÍA DE INNOVACIÓN TECNOLÓGICA IDRIX</t>
  </si>
  <si>
    <t>ING. MARCELO RAMOS SECAIRA</t>
  </si>
  <si>
    <t>CARTA DE INTENCIÓN COOPERATIVA SOL DE LOS ANDES</t>
  </si>
  <si>
    <t>LIC. EDWIN OSWALDO MAZA CAMAS</t>
  </si>
  <si>
    <t>CARTA DE INTENCIÓN DATAPROYECT INFORMATION SECURITY</t>
  </si>
  <si>
    <t>ING. NATALI ALEJANDRA CHAVEZ OLEAS</t>
  </si>
  <si>
    <t>CARTA DE INTENCIÓN FUNDACIÓN: AGRUPACIÓN NACIONAL DE ESTUDIANTES UNIVERSITARIOS-PROFESIONALES POR LA INCLUSIÓN</t>
  </si>
  <si>
    <t xml:space="preserve">HENRY RICARDO ERREZ </t>
  </si>
  <si>
    <t>CARTA DE INTENCIÓN INSTITUTO DE INVESTIGACIÓN Y ESTUDIOS INTERNACIONALES</t>
  </si>
  <si>
    <t>ING. MESIAS FREIRE</t>
  </si>
  <si>
    <t>CARTA DE INTENCIÓN FUNDACIÓN MIRECH</t>
  </si>
  <si>
    <t>ING. MARCELO GEDELJE</t>
  </si>
  <si>
    <t xml:space="preserve">CARTA DE INTENCIÓN CHILDREN INTERNACIONAL </t>
  </si>
  <si>
    <t>LIC. ORLANDO ROMERO</t>
  </si>
  <si>
    <t>CARTA DE INTENCIÓN IHOP CONSULTORIA</t>
  </si>
  <si>
    <t>ING. JUAN OROZCO PAREDES</t>
  </si>
  <si>
    <t>CARTA DE INTENCIÓN HOSPITAL DEL COMPUTADOR</t>
  </si>
  <si>
    <t>SR. FAUSTO DEL CASTILLO</t>
  </si>
  <si>
    <t>CARTA DE INTENCIÓN PHARMACITY</t>
  </si>
  <si>
    <t>MAS. JENNY LÓPEZ</t>
  </si>
  <si>
    <t>CARTA DE INTENCIÓN FUNDACIÓN AEUPI</t>
  </si>
  <si>
    <t>HENRRY ERRAEZ</t>
  </si>
  <si>
    <t>ING. ALEXANDRE ANTONIO ABASCAL FERRO</t>
  </si>
  <si>
    <t>0982789622</t>
  </si>
  <si>
    <t>0996123179</t>
  </si>
  <si>
    <t>0995400300</t>
  </si>
  <si>
    <t>0986351606</t>
  </si>
  <si>
    <t>0939476828</t>
  </si>
  <si>
    <t>0987339695</t>
  </si>
  <si>
    <t>025140990</t>
  </si>
  <si>
    <t>032948545</t>
  </si>
  <si>
    <t>0983516343</t>
  </si>
  <si>
    <t>0987762564</t>
  </si>
  <si>
    <t>0995638678</t>
  </si>
  <si>
    <t>032396360</t>
  </si>
  <si>
    <t>0968910449</t>
  </si>
  <si>
    <t>033700890</t>
  </si>
  <si>
    <t>032376690</t>
  </si>
  <si>
    <t>0985010637</t>
  </si>
  <si>
    <t>032307741</t>
  </si>
  <si>
    <t>0991438810</t>
  </si>
  <si>
    <t>0998906118</t>
  </si>
  <si>
    <t>032944790</t>
  </si>
  <si>
    <t>072663170</t>
  </si>
  <si>
    <t>0987653602</t>
  </si>
  <si>
    <t>0999122990</t>
  </si>
  <si>
    <t>0999445949</t>
  </si>
  <si>
    <t>0995459393</t>
  </si>
  <si>
    <t>032969687</t>
  </si>
  <si>
    <t xml:space="preserve">No. </t>
  </si>
  <si>
    <t xml:space="preserve">RESOLUCIÓN </t>
  </si>
  <si>
    <t xml:space="preserve">CONVENIO </t>
  </si>
  <si>
    <t>OBJETO DEL CONVENIO</t>
  </si>
  <si>
    <t xml:space="preserve">COORDINADOR </t>
  </si>
  <si>
    <t xml:space="preserve"> LEGALIZACIÓN Y VIGENCIA</t>
  </si>
  <si>
    <t>VIGENTE SI/NO</t>
  </si>
  <si>
    <t>250.CP.2022</t>
  </si>
  <si>
    <t>CONVENIO MARCO DE COOPERACIÓN INTERINSTITUCIONAL ENTRE LA ESCUELA SUPERIOR POLITÉCNICA DE CHIMBORAZO Y LA ENS DE LYON / CNRS – LABORATOIRE DE PHYSIQUE–FRANCE, PARA LA EJECUCIÓN DEL PROYECTO DE INVESTIGACIÓN “CONTROL DE LA ESTRUCTURA GRANULAR A TRAVÉS DE INESTABILIDADES HIDRODINÁMICAS</t>
  </si>
  <si>
    <t>Tiene por objeto: la Cooperación Interinstitucional entre la Escuela Superior Politécnica de Chimborazo (ESPOCH) y ENS De LYON / CNRS – LABORATOIRE DE PHYSIQUE- FREANCE (ENSL) para la ejecución del Proyecto de Investigación titulado: “CONTROL DE LA ESTRUCTURA GRANULAR A TRAVÉS DE INESTABILIDADES HIDRODINÁMICAS”</t>
  </si>
  <si>
    <t>Ing. Diego Barba Maggi Facultad de Informática y Electrónica</t>
  </si>
  <si>
    <t>LEGALIZADO: 08-02-2022 VIGENCIA: 3 AÑOS</t>
  </si>
  <si>
    <t>SI</t>
  </si>
  <si>
    <t>361.CP.2021</t>
  </si>
  <si>
    <t>CONVENIO ESPECÍFICO PARA LA REALIZACIÓN DE ACTIVIDADES DE VINCULACIÓN CON LA SOCIEDAD A TRAVÉS DE LA INVESTIGACIÓN ENTRE LA UNIVERSIDAD NACIONAL DE CHIMBORAZO, LA ESCUELA SUPERIOR POLITÉCNICA DE CHIMBORAZO Y LA FUNDACIÓN CULTURAL FLORES FRANCO</t>
  </si>
  <si>
    <t>Tiene por objeto fortalecer la gestión universitaria y politécnica en el área de vinculación con la sociedad, a través de la investigación, mediante la ejecución del proyecto “ILUSTRACIÓN DE LEYENDAS RIOBAMBEÑAS COMO ESTRATEGIA PARA EL FORTALECIMIENTO DE LA IDENTIDAD EN LA POBLACIÓN INFANTIL DEL CANTÓN RIOBAMBA.</t>
  </si>
  <si>
    <t>Ing. Fabián Calderón Facultad de Informática y Electrónica</t>
  </si>
  <si>
    <t>LEGALIZADO: 16-07-2021 VIGENCIA: 30 MESES</t>
  </si>
  <si>
    <t>707.CP.2021</t>
  </si>
  <si>
    <t>CONVENIO MARCO DE COOPERACIÓN INTERINSTITUCIONAL ENTRE EL MINISTERIO DE INCLUSIÓN ECONÓMICA Y SOCIAL (MIES) Y LA ESCUELA SUPERIOR POLITÉCNICA DE CHIMBORAZO (ESPOCH)</t>
  </si>
  <si>
    <t>Tiene por objeto: establecer mecanismos de colaboración y coordinación entre las partes para el fortalecimiento de la Inclusión Económica y Social de la población en situación de pobreza y vulnerabilidad, con los que trabaja el Ministerio de Inclusión Económica y Social, a través de la asistencia técnica, investigación, vinculación, formación, extensión rural, transferencia de tecnología, intercambio de experiencias de la Escuela Superior Politécnica de Chimborazo, a fin de promover oportunidades desarrollo socioeconómico, que mejore la calidad de vida de estos grupos.</t>
  </si>
  <si>
    <t>Ing. Cristian Oswaldo Guerra Facultad de Administración de Empresas</t>
  </si>
  <si>
    <t>LEGALIZADO: 18/12/2021 VIGENCIA: 4 AÑOS</t>
  </si>
  <si>
    <t>670.CP.2020</t>
  </si>
  <si>
    <t>CONVENIO DE PRÁCTICAS PREPROFESIONALES ENTRE LA ESPOCH Y LA EMPRESA DINELEC</t>
  </si>
  <si>
    <t>Tiene por objeto viabilizar las prácticas pre profesionales a los Estudiantes de la carrera de Informática y Electrónica; en las instalaciones de la ENTIDAD RECEPTORA, de conformidad a lo determinado en el artículo 87 de la ley Orgánica de Educación Superior, con la finalidad de que cumplan con el requisito de titulación exigido por la normativa de educación suprior vigente.</t>
  </si>
  <si>
    <t>Ing. Wilson Armando Zúñiga Vinueza Director de la Carrera de Ingeniería Electrónica Facultad de Informática y Electrónica</t>
  </si>
  <si>
    <t>LEGALIZADO: 01-12-2020  VIGENCIA: 5 AÑOS</t>
  </si>
  <si>
    <t>421.CP.2019</t>
  </si>
  <si>
    <t>CONVENIO DE COOPERACIÓN ENTRE LA ESCUELA SUPERIOR POLITÉCNICA DE CHIMBORAZO E IKERLAN S. COOP</t>
  </si>
  <si>
    <t>Tiene por objeto el desarrollo de esfuerzos cooperativos entre IKERLAN y ESPOCH, que mejorará el intercambio académico y de investigación entre las dos instituciones. Reconociendo la importancia de la colaboración mutua y las contribuciones a la sociedad hechas por las instituciones de educación superior, las partes desean promover el intercambio entre los estudiantes de las dos instituciones, así como el intercambio de información académica y de investigación.</t>
  </si>
  <si>
    <t>Ing. Víctor HerreraFIE</t>
  </si>
  <si>
    <t>LEGALIZADO: 01-10-2019 VIGENCIA: 5 AÑOS</t>
  </si>
  <si>
    <t>318.CP.2018</t>
  </si>
  <si>
    <t>CONVENIO ESPECÍFICO DE COOPERACIÓN INTERINSTITUCIONAL ENTRE LA UNIVERSIDAD TÉCNICA DE AMBATO "UTA" Y LA ESCUELA SUPERIOR DE CHIMBORAZO "ESPOCH"</t>
  </si>
  <si>
    <t>Promover el desarrollo de una oferta académica mediante al Aval Académico emitido entre la ESPOCH y la UTA, mismo que, garantiza la calidad académica de un proyecto de carrera o programa.</t>
  </si>
  <si>
    <t>Ing. Jhonny Guaiña Docente de la FIE</t>
  </si>
  <si>
    <t>LEGALIZADO: 18-09-2018 VIGENCIA: 5 AÑOS</t>
  </si>
  <si>
    <t>539.CP.2018</t>
  </si>
  <si>
    <t>CONVENIO DE COOPERACIÓN INSTERINSTITUCIONAL ENTRE EL MINISTERIO DE TELECOMUNICACIONES Y DE LA SOCIEDAD DE LA INFORMACIÓN (MINTEL) Y LA ESCUELA SUPERIOR POLITÉCNICA DE CHIMBORAZO</t>
  </si>
  <si>
    <t>Establecer las bases de una mutua cooperación entre ellas, para realizar actividades conjuntas en docencia, investigación, extensión y difusión de la cultura, así como en todas aquellas áreas de interés, propias de sus objetivos y funciones, con miras al logro de sus fines y el aprovechamiento racional de sus recursos, para los programas de pregrado, en especial para el Plan de la Sociedad de la Información y del Conocimiento (PSIC), así como también para la Facultad de Informática y Electrónica (FIE)</t>
  </si>
  <si>
    <t>Ing. Washington Luna Decano de la FIEDelega mediante Oficio Nº FIE-2019-00037 a:Ing. Jonny GuaiñaFIE</t>
  </si>
  <si>
    <t>LEGALIZADO: 6-02-2019 VIGENCIA: 5 AÑOS</t>
  </si>
  <si>
    <t xml:space="preserve">Recolección de información acerca del estado actual dela red de datos de nuestra institución. </t>
  </si>
  <si>
    <t>Asistencia en la implementación de nuevas tecnologías educativas a través de inteligencia artificial. Participación en la evaluación y mejora continua de los programas de teleeducación con desarrollo de software (campus virtual institucional). Participación en el desarrollo de productos enmarcados en la gobernanza digital</t>
  </si>
  <si>
    <t>Oficios de requerimiento</t>
  </si>
  <si>
    <t>Fecha Inicio</t>
  </si>
  <si>
    <t>Fecha Fin</t>
  </si>
  <si>
    <t>Responsable</t>
  </si>
  <si>
    <t>Medio de Verificación</t>
  </si>
  <si>
    <t>FASE</t>
  </si>
  <si>
    <t>Actividad</t>
  </si>
  <si>
    <t>FASE PRELIMINAR</t>
  </si>
  <si>
    <t>Una semana posterior a la culminación de exámenes principales</t>
  </si>
  <si>
    <t>Informe sesión de socialización</t>
  </si>
  <si>
    <t>Plantilla promocional elaborada</t>
  </si>
  <si>
    <t>Cierre del período académico</t>
  </si>
  <si>
    <t>Formulario de registro y base de datos actualizados</t>
  </si>
  <si>
    <t>Entrega de oficios de solicitud de postulación a los proyectos o empresas</t>
  </si>
  <si>
    <t>Coordinador/a de Carrera</t>
  </si>
  <si>
    <t>Inicio de período de matrículas para los PAOs correspondientes</t>
  </si>
  <si>
    <t>Fin de período de matrículas para los PAOs correspondientes</t>
  </si>
  <si>
    <t>Horarios académicos</t>
  </si>
  <si>
    <t>FASE DE SEGUIMIENTO</t>
  </si>
  <si>
    <t>Designación de docentes de Prácticas de Servicio Comunitario, Laborales</t>
  </si>
  <si>
    <t>Incio del período académico</t>
  </si>
  <si>
    <t>Inicio del período académico</t>
  </si>
  <si>
    <t>Oficio de designación y registro en horarios académicos</t>
  </si>
  <si>
    <t>Entrega de guías académicas de Prácticas Pre profesionales</t>
  </si>
  <si>
    <t>Oficio de entrega de guías actualizadas</t>
  </si>
  <si>
    <t>Socialización y retroalimentación del proceso operativo de las prácticas pre profesionales establecidas en las guías académicas a los docentes de Prácticas de Servicio Comunitario y Laborales</t>
  </si>
  <si>
    <t>Primera semana del período académico</t>
  </si>
  <si>
    <t>Docentes designados como Coordinadores de Prácticas de Servicio Comunitario y Prácticas Laborales</t>
  </si>
  <si>
    <t>Informe  de sesión de socialización</t>
  </si>
  <si>
    <t>Docentes de Prácticas de Servicio Comunitario y Laborales</t>
  </si>
  <si>
    <t>Recepción, revisión y calificación del Anexo B. Parcial 1 (Planificación y seguimiento de las actividades de las prácticas de Servicio Comunitario y Laborales )</t>
  </si>
  <si>
    <t>Anexo B Parcial 1</t>
  </si>
  <si>
    <t>Recepción, revisión y calificación del Anexo B. Parcial 2 (Planificación y seguimiento de las actividades de las prácticas de Servicio Comunitario y Laborales )</t>
  </si>
  <si>
    <t>Anexo B Parcial 2</t>
  </si>
  <si>
    <t>Recepción, revisión y calificación del Anexo B. Parcial 3 (Planificación y seguimiento de las actividades de las prácticas de Servicio Comunitario y Laborales )</t>
  </si>
  <si>
    <t>Anexo B Parcial 3</t>
  </si>
  <si>
    <t>Anexo C</t>
  </si>
  <si>
    <t>Anexo D</t>
  </si>
  <si>
    <t>Anexo E</t>
  </si>
  <si>
    <t>Generación Anexo F. Informe consolidado de las prácticas preprofesionales por carrera</t>
  </si>
  <si>
    <t>Anexo F</t>
  </si>
  <si>
    <t>Recepción de archivos consolidados de los Anexos A, B, C, D, E por estudiante</t>
  </si>
  <si>
    <t>Archivo consolidado Anexos A, B, C, D, E por estudiante</t>
  </si>
  <si>
    <t>Consolidación de Anexos F</t>
  </si>
  <si>
    <t>Matriz Consolidada de Anexos F</t>
  </si>
  <si>
    <t>Elaboración de acciones de mejora</t>
  </si>
  <si>
    <t>Documento de acciones de mejora</t>
  </si>
  <si>
    <t>FASE DE CIERRE</t>
  </si>
  <si>
    <t>Crear repositorio para evidencias de las prácticas</t>
  </si>
  <si>
    <t>Repositorio creado</t>
  </si>
  <si>
    <t>Generación de informes de seguimiento prácticas preprofesionales por modalidad</t>
  </si>
  <si>
    <t>Revisión y aprobación de informes</t>
  </si>
  <si>
    <t>Informes legalizados</t>
  </si>
  <si>
    <t>Estudiantes de la carrera Coordinador/a de Carrera</t>
  </si>
  <si>
    <t>Recepción y revisión del Anexo C. Parcial 3 
(Evaluación Empresarial)</t>
  </si>
  <si>
    <t>Recepción y revisión del Anexo D. Parcial 3
(Autoevaluación)</t>
  </si>
  <si>
    <t>Recepción y revisión del Anexo E. Parcial 3 
(Informe ejecutivo de prácticas preprofesionales)</t>
  </si>
  <si>
    <t>* Oficio de solicitud de prácticas (estudiante)
* Oficio de solicitud de prácticas (carrera)
* Oficio de aceptación de prácticas (empresa)</t>
  </si>
  <si>
    <t>Informes de seguimiento prácticas preprofesionales por modalidad</t>
  </si>
  <si>
    <t>Socialización a los estudiantes de las plazas laborales en Empresas, proyectos de investigación y vinculación institucionales y ayudantías de cátedra.</t>
  </si>
  <si>
    <t>Empresarios, Coordinadores de Proyectos de investigación y Vinculación Institucionales, y docentes que requieran ayudantes de cátedra</t>
  </si>
  <si>
    <t>Diseñador Gráfico</t>
  </si>
  <si>
    <t>Coordinador Comisión Vincualción de la Carrera</t>
  </si>
  <si>
    <t>Difusión del Proceso de Prácticas Preprofesionales para los estudiantes, a través de los medios comunicacionales institucionales de la carrera de Software</t>
  </si>
  <si>
    <t>Técnico Docente de la Carrera de Software</t>
  </si>
  <si>
    <t>Medios de comunicación de la carrera</t>
  </si>
  <si>
    <t>Creación de un formulario para el registro de postulación de los estudiantes en las empresa, proyectos de investigación y vincualción y manejo de la base de datos de los mismos</t>
  </si>
  <si>
    <t>Dos semanas posterior a la culminación de exámenes principales</t>
  </si>
  <si>
    <t>Designación de horarios de prácticas preprofesionales (Prácticas de servicio Comunitario / Laborales)</t>
  </si>
  <si>
    <t>* Oficio de solicitud de prácticas (estudiante)
* Oficio de solicitud de prácticas (carrera)</t>
  </si>
  <si>
    <t>Recepción  de los documentos del Anexo A. Parcial 1</t>
  </si>
  <si>
    <t>Semana de pruebas primer parcial</t>
  </si>
  <si>
    <t>Semana de pruebas segundo parcial</t>
  </si>
  <si>
    <t>Semana de pruebas tercer parcial</t>
  </si>
  <si>
    <t>Semana de pruebas tercer parcial
Se puede extender hasta la fecha del examen principal o recuperación</t>
  </si>
  <si>
    <t>Durante el Tercer parcial del PAO actual</t>
  </si>
  <si>
    <t xml:space="preserve">La última semana del PAO actual </t>
  </si>
  <si>
    <t>CARTA DE INTENCIÓN ECUABAMBA TECNOLOGY</t>
  </si>
  <si>
    <t>Recepción de requerimientos por parte de las empresas,  proyectos de investigación y vinculación institucionales  y ayudantías de cátedra para que los estudiantes realicen sus prácticas preprofesionales.</t>
  </si>
  <si>
    <t>Proyecto investigación fortalecimiento de la gestión de la unión provincial de cooperativas de ahorro y crédito de Chimborazo – UPROCACH, a través de un modelo de gestión integral y plan de marketing digital que permite innovar, desarrollar un software financiero y página web para mejorar el crecimiento orgánico de las cooperativas en territorio de su influencia”</t>
  </si>
  <si>
    <t>Desarrollo del software de control financiero y pagina web producción y despliegue de software financiero para UPROCACH uso y mantenimiento de software financiero para UPROCACH manual de usuario de software financiero</t>
  </si>
  <si>
    <t>Proyecto para el desarrollo y afianzamiento de la mentalidad emprendedora y capacidades productivas en la provincia de Chimborazo</t>
  </si>
  <si>
    <t>Analítica de datos para la identificación espacial de actores de emprendimiento mujeres lideres de Chimborazo</t>
  </si>
  <si>
    <t>0988394709 </t>
  </si>
  <si>
    <t>Reuniones con el director del proyecto (cliente del software) Levantar requerimientos Reuniones con el equipo de asesoramiento (DTIC) Desarrollo del back End (framework node.js) Desarrollo de Front End (Framework angular) Desarrollo de esquemas en la base de datos (Postgresql) Gestión de versionamiento en Git Hu</t>
  </si>
  <si>
    <t>Proyecto "Actualización de la página web del grupo de investigación ciencia de datos -CIDED"</t>
  </si>
  <si>
    <t>Decanato de Teleeducación</t>
  </si>
  <si>
    <t xml:space="preserve">GAD Municipal de Riobamba </t>
  </si>
  <si>
    <t>Agrupación Nacional de Estudiantes Universitarios - Profesionales por la Inclusión (ANEUPI)</t>
  </si>
  <si>
    <t>Empresa ECUABAMBA TECHNOLOGIES S.A.</t>
  </si>
  <si>
    <t>Proyecto de investigación “Implementar un sistema de inteligencia de negocios mediante analítica de datos para el análisis espacial de patrones de consumo en MIPYMES de la provincia de Chimborazo”.</t>
  </si>
  <si>
    <t xml:space="preserve">Mercado de productores Riobamba </t>
  </si>
  <si>
    <t>0992518889 </t>
  </si>
  <si>
    <t>Desarrollo y ejecución de pruebas unitarias de requerimientos asignados.
Identificación y diagnóstico reactivo y proactivo de problemas en los servicios en producción.
Desarrollo de la solución y pruebas unitarias de incidentes recibidos por Calidad y Gestión Funcional</t>
  </si>
  <si>
    <t>Diseño del Sistema de Educación Continua y Consultoría
Diseño de procesos mediante un SISTEMA 
Diseño de la Pagina WEB carrera de SOFTWARE</t>
  </si>
  <si>
    <t>Ing. Maritza Rodríguez 
COORDINADORA DEL PROYECTO DE INVESTIGACIÓN</t>
  </si>
  <si>
    <t>Ing. Maritza Rodríguez 
COORDINADORA DEL PROYECTO DE VINCULACIÓN</t>
  </si>
  <si>
    <t>Ing. Isaac Torres
COORDINADOR DEL PROYECTO DE VINCULACIÓN</t>
  </si>
  <si>
    <t>Dr. Rubén Pazmiño
COORDINADOR DEL PROYECTO DE INVESTIGACIÓN</t>
  </si>
  <si>
    <t xml:space="preserve">Ing. Ximena Vanegas
GAD MUNICIPAL DE RIOBAMBA </t>
  </si>
  <si>
    <t>Dr. Arquímedes Haro
COORDINADOR DEL PROYECTO DE INVESTIGACIÓN</t>
  </si>
  <si>
    <t>Ing. Alexandre Antonio Abascal Ferro
REPRESENTANTE LEGAL ECUABANBA TECHNOLOGIES S.A.</t>
  </si>
  <si>
    <t>Ing. Hermel Tayupanda 
PREFECTO DE LA PROVINCIA DE CHIMBORAZO</t>
  </si>
  <si>
    <t>Ing. Carlos Delgado Rodríguez
COORDINADOR DEL PROYECTO DE INVESTIGACIÓN</t>
  </si>
  <si>
    <t>Ing. Diego Palacios
DIRECTOR DTIC</t>
  </si>
  <si>
    <t>Ing. Cristian Guerra Flores
COORDINADOR DEL PROYECTO DE VINCULACIÓN</t>
  </si>
  <si>
    <t>Difusión y promoción del proceso de socialización sobre el Proceso de Practicas Preprofesionales de carácter laboral y comunitarias.</t>
  </si>
  <si>
    <t>0992961668</t>
  </si>
  <si>
    <t>0996246260</t>
  </si>
  <si>
    <t xml:space="preserve">Carrera de Ingeniería Ambiental </t>
  </si>
  <si>
    <t>Desarrollo de Software
Página Web</t>
  </si>
  <si>
    <t>Ing. Luis Miguel Santillán 
COORDINADOR DE CARRERA</t>
  </si>
  <si>
    <t>Uso de R con la aplicación de Power BI
Desarrollo página WEB</t>
  </si>
  <si>
    <t>Ing. Danilo Pastor 
DECANO DE TELEEDUCACIÓN ESPOCH</t>
  </si>
  <si>
    <t>0992741298</t>
  </si>
  <si>
    <t>Proyecto "Caracterización de las condiciones físicas y meteorológicas para la implementación de dispositivos de generación de energías eólicas y solar en la provincia de Chimborazo"</t>
  </si>
  <si>
    <t>0995625309</t>
  </si>
  <si>
    <t>Ing. Henry Ricardo Erraez
PRESIDENTE DE LA ANEUPI</t>
  </si>
  <si>
    <t>0987563440</t>
  </si>
  <si>
    <t>Gobierno Autónomo Descentralizado de la Provincia de Chimborazo</t>
  </si>
  <si>
    <t>032994060
032994061</t>
  </si>
  <si>
    <t>0992740724</t>
  </si>
  <si>
    <t>Proyecto de Investigación y Vincualción "DTIC"</t>
  </si>
  <si>
    <t>0987636398</t>
  </si>
  <si>
    <t>0998331142</t>
  </si>
  <si>
    <t>Empresa TELCOMEXPERT EXPERTOS EN TELECOMUNICACIONES S.A.</t>
  </si>
  <si>
    <t>Ing. Jaqueline Ponce
GERENTE GENERAL</t>
  </si>
  <si>
    <t>0984848697
032318624</t>
  </si>
  <si>
    <t xml:space="preserve">Carrera de Recursos Renovables </t>
  </si>
  <si>
    <t>Ing. Alex Gavilanez Montoya
COORDINADOR DE CARRERA</t>
  </si>
  <si>
    <t xml:space="preserve">Proyecto de Investigación </t>
  </si>
  <si>
    <t>Ing. Jaqueline Ponce
COORDINADORA DEL PROYECTO DE INVESTIGACIÓN</t>
  </si>
  <si>
    <t>Ing. Cristina Calle
MERCADO DE PRODUCTORES RIOBAMBA</t>
  </si>
  <si>
    <t xml:space="preserve">0984848697
</t>
  </si>
  <si>
    <t xml:space="preserve">Proyecto de Vinculación Banco de Alimentos Riobamba </t>
  </si>
  <si>
    <t>Proyecto de Investigación  WIÑAY</t>
  </si>
  <si>
    <t>Nut. Tania Carpio 
COORDINADORA DEL PROYECTO DE VINCULACIÓN</t>
  </si>
  <si>
    <t>EMPRESA/PROYECTOS DE VINCUALCIÓN O INVESTIGACIÓN</t>
  </si>
  <si>
    <t>LABORAL</t>
  </si>
  <si>
    <t>COMUNITARIA</t>
  </si>
  <si>
    <t>Empresa Alpha Core Solution</t>
  </si>
  <si>
    <t>Ing. Estefano Aguayo
GERENTE GENERAL</t>
  </si>
  <si>
    <t>0996179877</t>
  </si>
  <si>
    <t>Dra. Gloria Arcos PhD
COORDINADORA DEL PROYECTO DE INVESTIGACIÓN</t>
  </si>
  <si>
    <t>Simbología</t>
  </si>
  <si>
    <t>CARTA DE INTENCIÓN TELTECNET S.A.S. B.I.C.</t>
  </si>
  <si>
    <t>ING. SEGUNDO DARÍO TENEZACA ANGAMARCA</t>
  </si>
  <si>
    <t>0984517703</t>
  </si>
  <si>
    <t>CARTA DE INTENCIÓN FUNDACIÓN EMPRENDER Y NO DEPENDER</t>
  </si>
  <si>
    <t>ING. MARÍA DE LOURDES MURILLO FAJARDO</t>
  </si>
  <si>
    <t>ON-LINE</t>
  </si>
  <si>
    <t>Proyecto de Vinculación "EMPODERAMIENTO DEL EMPRENDIMIENTO EN CHIMBORAZO: INTEGRACIÓN DE INTELIGENCIA ARTIFICIAL Y DE NEGOCIOS MIES-ESPOCH"</t>
  </si>
  <si>
    <t>099 580 7568</t>
  </si>
  <si>
    <t>Proyecto de Vinculación "RIOBAMBA SEGURA - INNOVACIÓN TECNOLÓGICA Y VINCULACIÓN CIUDADANA PARA UNA GESTIÓN EFICIENTE DE LOS SERVICIOS DE LA UNIDAD DE POLICÍA COMUNITARIA SUBZONA DE LA POLICÍA DE CHIMBORAZO N°6 MEDIANTE UNA PLATAFORMA DIGITAL".</t>
  </si>
  <si>
    <t>Ing. Bladimir Enrique Urgiles Rodriguez
COORDINADOR DEL PROYECTO DE VINCULACIÓN</t>
  </si>
  <si>
    <t>098 766 9916</t>
  </si>
  <si>
    <t>099 266 9635</t>
  </si>
  <si>
    <t>Proyecto de Investigación PROPUESTAS DE VALOR Y CADENAS SUSTENTABLES UTILIZANDO LA VALORACIÓN ECONÓMICA DE LA CAPTURA DE CARBONO EN CONDICIONES ALTOANDINAS.</t>
  </si>
  <si>
    <t>Ing. Cristian Oswaldo Guerra Flores</t>
  </si>
  <si>
    <t>COORDINADOR</t>
  </si>
  <si>
    <t>ESCUELA SUPERIOR POLITÉCNICA DE CHIMBORAZO</t>
  </si>
  <si>
    <t>CARRERA DE SOFTWARE</t>
  </si>
  <si>
    <t>FACULTAD DE INFORMÁTICA Y ELECTRÓNICA</t>
  </si>
  <si>
    <r>
      <rPr>
        <b/>
        <sz val="10"/>
        <color theme="1"/>
        <rFont val="Times New Roman"/>
        <family val="1"/>
      </rPr>
      <t>PERÍODO:</t>
    </r>
    <r>
      <rPr>
        <sz val="10"/>
        <color theme="1"/>
        <rFont val="Times New Roman"/>
        <family val="1"/>
      </rPr>
      <t xml:space="preserve"> SEPTIEMBRE 2025 - FEBRERO 2026</t>
    </r>
  </si>
  <si>
    <t>PLAZAS LABORALES</t>
  </si>
  <si>
    <t>CONVENIOS VIGENTES DE LA CARRERA</t>
  </si>
  <si>
    <t>CARTAS DE INTENCIÓN VIGENTES DE LA CARRERA</t>
  </si>
  <si>
    <t>Proyecto de creación del Laboratorio de Tecnologías de
Realidad Extendida para la Seguridad y Mantenimiento Industrial (LabXR-SMI)</t>
  </si>
  <si>
    <t>Programación en entornos Unity 3D y motores gráficos compatibles con XR.
Integración de interfaces interactivas y experiencias inmersivas.
Implementación de bases de datos ligeras para trazabilidad de usuarios.
Optimización de flujos de navegación en entornos virtuales.</t>
  </si>
  <si>
    <t>Ing. Luis Carlos Hidalgo Viteri
COORDINADORA DEL PROYECTO DE INVESTIGACIÓN</t>
  </si>
  <si>
    <t>095 874 0857</t>
  </si>
  <si>
    <t>Ing. Maria Fernanda Rivera
COORDINADORA DEL PROYECTO DE INVESTIGACIÓN</t>
  </si>
  <si>
    <t>Proyecto de Investigación SOFTWARE PARA LA VALORACIÓN ECONÓMICA AMBIENTAL DEL SERVICIO DE PROVISIÓN HÍDRICA EN ECOSISTEMAS ALTOANDINOS</t>
  </si>
  <si>
    <t>095 940 4860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</si>
</sst>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Times New Roman"/>
      <family val="1"/>
    </font>
    <font>
      <b/>
      <sz val="10"/>
      <color theme="1"/>
      <name val="Times New Roman"/>
      <family val="1"/>
    </font>
    <font>
      <b/>
      <sz val="9"/>
      <color theme="1"/>
      <name val="Calibri"/>
      <family val="2"/>
      <scheme val="minor"/>
    </font>
    <font>
      <b/>
      <sz val="9"/>
      <color rgb="FF000000"/>
      <name val="Calibri"/>
      <family val="2"/>
      <scheme val="minor"/>
    </font>
    <font>
      <sz val="9"/>
      <color theme="1"/>
      <name val="Calibri"/>
      <family val="2"/>
      <scheme val="minor"/>
    </font>
    <font>
      <sz val="9"/>
      <color rgb="FF222222"/>
      <name val="Calibri"/>
      <family val="2"/>
      <scheme val="minor"/>
    </font>
    <font>
      <sz val="9"/>
      <color rgb="FF000000"/>
      <name val="Calibri"/>
      <family val="2"/>
      <scheme val="minor"/>
    </font>
    <font>
      <sz val="8"/>
      <color theme="1"/>
      <name val="Times New Roman"/>
      <family val="1"/>
    </font>
    <font>
      <b/>
      <sz val="8"/>
      <color theme="1"/>
      <name val="Times New Roman"/>
      <family val="1"/>
    </font>
    <font>
      <sz val="8"/>
      <name val="Calibri"/>
      <family val="2"/>
      <scheme val="minor"/>
    </font>
    <font>
      <b/>
      <sz val="9"/>
      <color theme="1"/>
      <name val="Cambria"/>
      <family val="1"/>
    </font>
    <font>
      <sz val="9"/>
      <color theme="1"/>
      <name val="Cambria"/>
      <family val="1"/>
    </font>
    <font>
      <sz val="9"/>
      <color rgb="FF000000"/>
      <name val="Cambria"/>
      <family val="1"/>
    </font>
    <font>
      <b/>
      <sz val="10"/>
      <color rgb="FF000000"/>
      <name val="Cambria"/>
      <family val="1"/>
    </font>
    <font>
      <sz val="10"/>
      <color rgb="FF000000"/>
      <name val="Cambria"/>
      <family val="1"/>
    </font>
    <font>
      <sz val="10"/>
      <color theme="1"/>
      <name val="Cambria"/>
      <family val="1"/>
    </font>
    <font>
      <b/>
      <sz val="14"/>
      <color theme="1"/>
      <name val="Times New Roman"/>
      <family val="1"/>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F2CC"/>
        <bgColor indexed="64"/>
      </patternFill>
    </fill>
    <fill>
      <patternFill patternType="solid">
        <fgColor rgb="FFF7CAAC"/>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vertical="center"/>
    </xf>
    <xf numFmtId="0" fontId="1" fillId="0" borderId="1" xfId="0" applyFont="1" applyBorder="1" applyAlignment="1">
      <alignment vertical="center"/>
    </xf>
    <xf numFmtId="0" fontId="1" fillId="0" borderId="0" xfId="0" applyFont="1" applyAlignment="1">
      <alignment horizontal="center" vertical="center"/>
    </xf>
    <xf numFmtId="49" fontId="1" fillId="0" borderId="0" xfId="0" applyNumberFormat="1" applyFont="1" applyAlignment="1">
      <alignment horizontal="right" vertical="center"/>
    </xf>
    <xf numFmtId="0" fontId="2" fillId="0" borderId="0" xfId="0" applyFont="1" applyAlignment="1">
      <alignment horizontal="center" vertical="center"/>
    </xf>
    <xf numFmtId="0" fontId="1" fillId="0" borderId="0" xfId="0" applyFont="1" applyAlignment="1">
      <alignment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vertical="center" wrapText="1"/>
    </xf>
    <xf numFmtId="0" fontId="7" fillId="0" borderId="1" xfId="0" applyFont="1" applyBorder="1" applyAlignment="1">
      <alignment vertical="center" wrapText="1"/>
    </xf>
    <xf numFmtId="0" fontId="5" fillId="0" borderId="1" xfId="0" applyFont="1" applyBorder="1"/>
    <xf numFmtId="0" fontId="7" fillId="0" borderId="1" xfId="0" applyFont="1" applyBorder="1" applyAlignment="1">
      <alignment horizontal="right" vertical="center" wrapText="1"/>
    </xf>
    <xf numFmtId="0" fontId="6" fillId="3" borderId="1" xfId="0" applyFont="1" applyFill="1" applyBorder="1" applyAlignment="1">
      <alignment vertical="center" wrapText="1"/>
    </xf>
    <xf numFmtId="0" fontId="7" fillId="3" borderId="1" xfId="0" applyFont="1" applyFill="1" applyBorder="1" applyAlignment="1">
      <alignment vertical="center" wrapText="1"/>
    </xf>
    <xf numFmtId="0" fontId="5" fillId="3" borderId="1" xfId="0" applyFont="1" applyFill="1" applyBorder="1"/>
    <xf numFmtId="0" fontId="0" fillId="0" borderId="1" xfId="0" applyBorder="1"/>
    <xf numFmtId="49" fontId="7" fillId="0" borderId="1" xfId="0" applyNumberFormat="1" applyFont="1" applyBorder="1" applyAlignment="1">
      <alignment horizontal="right" vertical="center" wrapText="1"/>
    </xf>
    <xf numFmtId="49" fontId="7" fillId="3" borderId="1" xfId="0" applyNumberFormat="1" applyFont="1" applyFill="1" applyBorder="1" applyAlignment="1">
      <alignment horizontal="right" vertical="center" wrapText="1"/>
    </xf>
    <xf numFmtId="0" fontId="8" fillId="0" borderId="1" xfId="0" applyFont="1" applyBorder="1"/>
    <xf numFmtId="0" fontId="9"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0" fillId="0" borderId="0" xfId="0" applyAlignment="1">
      <alignment wrapText="1"/>
    </xf>
    <xf numFmtId="0" fontId="12" fillId="0" borderId="0" xfId="0" applyFont="1" applyAlignment="1">
      <alignment vertical="center" wrapText="1"/>
    </xf>
    <xf numFmtId="0" fontId="12" fillId="0" borderId="0" xfId="0" applyFont="1"/>
    <xf numFmtId="0" fontId="12" fillId="0" borderId="1" xfId="0" applyFont="1" applyBorder="1" applyAlignment="1">
      <alignment vertical="center" wrapText="1"/>
    </xf>
    <xf numFmtId="15" fontId="12" fillId="0" borderId="1" xfId="0" applyNumberFormat="1" applyFont="1" applyBorder="1" applyAlignment="1">
      <alignment vertical="center" wrapText="1"/>
    </xf>
    <xf numFmtId="15" fontId="12" fillId="0" borderId="1" xfId="0" applyNumberFormat="1" applyFont="1" applyBorder="1" applyAlignment="1">
      <alignment horizontal="center" vertical="center" wrapText="1"/>
    </xf>
    <xf numFmtId="0" fontId="12" fillId="0" borderId="2" xfId="0" applyFont="1" applyBorder="1" applyAlignment="1">
      <alignment horizontal="left" vertical="center" wrapText="1"/>
    </xf>
    <xf numFmtId="15" fontId="12" fillId="0" borderId="2"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2" fillId="0" borderId="0" xfId="0" applyFont="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vertical="center"/>
    </xf>
    <xf numFmtId="0" fontId="15" fillId="0" borderId="1" xfId="0" applyFont="1" applyBorder="1" applyAlignment="1">
      <alignment horizontal="center" vertical="center" wrapText="1"/>
    </xf>
    <xf numFmtId="0" fontId="16" fillId="0" borderId="1" xfId="0" applyFont="1" applyBorder="1" applyAlignment="1">
      <alignment vertical="center" wrapText="1"/>
    </xf>
    <xf numFmtId="49" fontId="15" fillId="0" borderId="1" xfId="0" applyNumberFormat="1" applyFont="1" applyBorder="1" applyAlignment="1">
      <alignment horizontal="right" vertical="center"/>
    </xf>
    <xf numFmtId="49" fontId="15" fillId="0" borderId="1" xfId="0" applyNumberFormat="1" applyFont="1" applyBorder="1" applyAlignment="1">
      <alignment horizontal="right" vertical="center" wrapText="1"/>
    </xf>
    <xf numFmtId="0" fontId="12" fillId="0" borderId="0" xfId="0" applyFont="1" applyAlignment="1">
      <alignment horizontal="center" vertical="center" wrapText="1"/>
    </xf>
    <xf numFmtId="0" fontId="12" fillId="0" borderId="0" xfId="0" applyFont="1" applyAlignment="1">
      <alignment horizontal="center"/>
    </xf>
    <xf numFmtId="0" fontId="5" fillId="3" borderId="1" xfId="0" applyFont="1" applyFill="1" applyBorder="1" applyAlignment="1">
      <alignment horizontal="center" vertical="center"/>
    </xf>
    <xf numFmtId="0" fontId="0" fillId="3" borderId="1" xfId="0" applyFill="1" applyBorder="1"/>
    <xf numFmtId="0" fontId="2" fillId="0" borderId="0" xfId="0" applyFont="1" applyAlignment="1">
      <alignment vertical="center"/>
    </xf>
    <xf numFmtId="0" fontId="15" fillId="3" borderId="1" xfId="0" applyFont="1" applyFill="1" applyBorder="1" applyAlignment="1">
      <alignment vertical="center" wrapText="1"/>
    </xf>
    <xf numFmtId="0" fontId="17"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2" fillId="0" borderId="7" xfId="0" applyFont="1" applyBorder="1" applyAlignment="1">
      <alignment horizontal="center" vertical="center"/>
    </xf>
    <xf numFmtId="0" fontId="1" fillId="0" borderId="7" xfId="0" applyFont="1" applyBorder="1" applyAlignment="1">
      <alignment horizontal="center" vertical="center"/>
    </xf>
    <xf numFmtId="0" fontId="13" fillId="6" borderId="1" xfId="0" applyFont="1" applyFill="1" applyBorder="1" applyAlignment="1">
      <alignment horizontal="center" vertical="center" textRotation="90" wrapText="1"/>
    </xf>
    <xf numFmtId="0" fontId="13" fillId="5" borderId="2" xfId="0" applyFont="1" applyFill="1" applyBorder="1" applyAlignment="1">
      <alignment horizontal="center" vertical="center" textRotation="90" wrapText="1"/>
    </xf>
    <xf numFmtId="0" fontId="13" fillId="5" borderId="3" xfId="0" applyFont="1" applyFill="1" applyBorder="1" applyAlignment="1">
      <alignment horizontal="center" vertical="center" textRotation="90" wrapText="1"/>
    </xf>
    <xf numFmtId="0" fontId="13" fillId="4" borderId="1" xfId="0" applyFont="1" applyFill="1" applyBorder="1" applyAlignment="1">
      <alignment horizontal="center" vertical="center" textRotation="90" wrapText="1"/>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209550</xdr:colOff>
      <xdr:row>1</xdr:row>
      <xdr:rowOff>476250</xdr:rowOff>
    </xdr:from>
    <xdr:to>
      <xdr:col>5</xdr:col>
      <xdr:colOff>1212850</xdr:colOff>
      <xdr:row>1</xdr:row>
      <xdr:rowOff>762000</xdr:rowOff>
    </xdr:to>
    <xdr:sp macro="" textlink="">
      <xdr:nvSpPr>
        <xdr:cNvPr id="2" name="Rectángulo: esquinas redondeadas 1">
          <a:extLst>
            <a:ext uri="{FF2B5EF4-FFF2-40B4-BE49-F238E27FC236}">
              <a16:creationId xmlns:a16="http://schemas.microsoft.com/office/drawing/2014/main" id="{2FF47F6D-39FF-4D0C-8BA8-3FD90C98AFEC}"/>
            </a:ext>
          </a:extLst>
        </xdr:cNvPr>
        <xdr:cNvSpPr/>
      </xdr:nvSpPr>
      <xdr:spPr>
        <a:xfrm>
          <a:off x="6870700" y="622300"/>
          <a:ext cx="1003300" cy="285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234950</xdr:colOff>
      <xdr:row>2</xdr:row>
      <xdr:rowOff>57150</xdr:rowOff>
    </xdr:from>
    <xdr:to>
      <xdr:col>5</xdr:col>
      <xdr:colOff>1187450</xdr:colOff>
      <xdr:row>2</xdr:row>
      <xdr:rowOff>361950</xdr:rowOff>
    </xdr:to>
    <xdr:sp macro="" textlink="">
      <xdr:nvSpPr>
        <xdr:cNvPr id="3" name="Rectángulo 2">
          <a:extLst>
            <a:ext uri="{FF2B5EF4-FFF2-40B4-BE49-F238E27FC236}">
              <a16:creationId xmlns:a16="http://schemas.microsoft.com/office/drawing/2014/main" id="{2BA8B068-0167-4AC4-8D6D-47E7EF98399C}"/>
            </a:ext>
          </a:extLst>
        </xdr:cNvPr>
        <xdr:cNvSpPr/>
      </xdr:nvSpPr>
      <xdr:spPr>
        <a:xfrm>
          <a:off x="6896100" y="1079500"/>
          <a:ext cx="952500"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234950</xdr:colOff>
      <xdr:row>3</xdr:row>
      <xdr:rowOff>63500</xdr:rowOff>
    </xdr:from>
    <xdr:to>
      <xdr:col>5</xdr:col>
      <xdr:colOff>1187450</xdr:colOff>
      <xdr:row>3</xdr:row>
      <xdr:rowOff>368300</xdr:rowOff>
    </xdr:to>
    <xdr:sp macro="" textlink="">
      <xdr:nvSpPr>
        <xdr:cNvPr id="4" name="Rectángulo 3">
          <a:extLst>
            <a:ext uri="{FF2B5EF4-FFF2-40B4-BE49-F238E27FC236}">
              <a16:creationId xmlns:a16="http://schemas.microsoft.com/office/drawing/2014/main" id="{82FFB887-D333-43B0-A0BC-052AB8FEC7BB}"/>
            </a:ext>
          </a:extLst>
        </xdr:cNvPr>
        <xdr:cNvSpPr/>
      </xdr:nvSpPr>
      <xdr:spPr>
        <a:xfrm>
          <a:off x="6896100" y="1524000"/>
          <a:ext cx="952500"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222250</xdr:colOff>
      <xdr:row>4</xdr:row>
      <xdr:rowOff>57150</xdr:rowOff>
    </xdr:from>
    <xdr:to>
      <xdr:col>5</xdr:col>
      <xdr:colOff>1174750</xdr:colOff>
      <xdr:row>4</xdr:row>
      <xdr:rowOff>361950</xdr:rowOff>
    </xdr:to>
    <xdr:sp macro="" textlink="">
      <xdr:nvSpPr>
        <xdr:cNvPr id="5" name="Rectángulo 4">
          <a:extLst>
            <a:ext uri="{FF2B5EF4-FFF2-40B4-BE49-F238E27FC236}">
              <a16:creationId xmlns:a16="http://schemas.microsoft.com/office/drawing/2014/main" id="{D82B37AB-F462-4F07-954E-D2DEF65A67B4}"/>
            </a:ext>
          </a:extLst>
        </xdr:cNvPr>
        <xdr:cNvSpPr/>
      </xdr:nvSpPr>
      <xdr:spPr>
        <a:xfrm>
          <a:off x="6883400" y="1955800"/>
          <a:ext cx="952500"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241300</xdr:colOff>
      <xdr:row>5</xdr:row>
      <xdr:rowOff>76200</xdr:rowOff>
    </xdr:from>
    <xdr:to>
      <xdr:col>5</xdr:col>
      <xdr:colOff>1187450</xdr:colOff>
      <xdr:row>5</xdr:row>
      <xdr:rowOff>419100</xdr:rowOff>
    </xdr:to>
    <xdr:sp macro="" textlink="">
      <xdr:nvSpPr>
        <xdr:cNvPr id="6" name="Diagrama de flujo: documento 5">
          <a:extLst>
            <a:ext uri="{FF2B5EF4-FFF2-40B4-BE49-F238E27FC236}">
              <a16:creationId xmlns:a16="http://schemas.microsoft.com/office/drawing/2014/main" id="{A33D63A7-4F54-4FC5-B2BD-1F86FD7D4986}"/>
            </a:ext>
          </a:extLst>
        </xdr:cNvPr>
        <xdr:cNvSpPr/>
      </xdr:nvSpPr>
      <xdr:spPr>
        <a:xfrm>
          <a:off x="6902450" y="2413000"/>
          <a:ext cx="946150" cy="34290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247650</xdr:colOff>
      <xdr:row>6</xdr:row>
      <xdr:rowOff>127000</xdr:rowOff>
    </xdr:from>
    <xdr:to>
      <xdr:col>5</xdr:col>
      <xdr:colOff>1193800</xdr:colOff>
      <xdr:row>6</xdr:row>
      <xdr:rowOff>469900</xdr:rowOff>
    </xdr:to>
    <xdr:sp macro="" textlink="">
      <xdr:nvSpPr>
        <xdr:cNvPr id="7" name="Diagrama de flujo: documento 6">
          <a:extLst>
            <a:ext uri="{FF2B5EF4-FFF2-40B4-BE49-F238E27FC236}">
              <a16:creationId xmlns:a16="http://schemas.microsoft.com/office/drawing/2014/main" id="{CC7CBE46-1235-4B44-88CF-61985B6AD773}"/>
            </a:ext>
          </a:extLst>
        </xdr:cNvPr>
        <xdr:cNvSpPr/>
      </xdr:nvSpPr>
      <xdr:spPr>
        <a:xfrm>
          <a:off x="6908800" y="2901950"/>
          <a:ext cx="946150" cy="34290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241300</xdr:colOff>
      <xdr:row>8</xdr:row>
      <xdr:rowOff>69850</xdr:rowOff>
    </xdr:from>
    <xdr:to>
      <xdr:col>5</xdr:col>
      <xdr:colOff>1244600</xdr:colOff>
      <xdr:row>8</xdr:row>
      <xdr:rowOff>355600</xdr:rowOff>
    </xdr:to>
    <xdr:sp macro="" textlink="">
      <xdr:nvSpPr>
        <xdr:cNvPr id="8" name="Rectángulo: esquinas redondeadas 7">
          <a:extLst>
            <a:ext uri="{FF2B5EF4-FFF2-40B4-BE49-F238E27FC236}">
              <a16:creationId xmlns:a16="http://schemas.microsoft.com/office/drawing/2014/main" id="{69826534-0516-41AD-8459-D26F2DB208EB}"/>
            </a:ext>
          </a:extLst>
        </xdr:cNvPr>
        <xdr:cNvSpPr/>
      </xdr:nvSpPr>
      <xdr:spPr>
        <a:xfrm>
          <a:off x="6902450" y="3867150"/>
          <a:ext cx="1003300" cy="285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609600</xdr:colOff>
      <xdr:row>1</xdr:row>
      <xdr:rowOff>755650</xdr:rowOff>
    </xdr:from>
    <xdr:to>
      <xdr:col>5</xdr:col>
      <xdr:colOff>787400</xdr:colOff>
      <xdr:row>2</xdr:row>
      <xdr:rowOff>69850</xdr:rowOff>
    </xdr:to>
    <xdr:sp macro="" textlink="">
      <xdr:nvSpPr>
        <xdr:cNvPr id="11" name="Flecha: hacia abajo 10">
          <a:extLst>
            <a:ext uri="{FF2B5EF4-FFF2-40B4-BE49-F238E27FC236}">
              <a16:creationId xmlns:a16="http://schemas.microsoft.com/office/drawing/2014/main" id="{E69A3ECF-CACD-4F19-9078-8AEFCE09E4E2}"/>
            </a:ext>
          </a:extLst>
        </xdr:cNvPr>
        <xdr:cNvSpPr/>
      </xdr:nvSpPr>
      <xdr:spPr>
        <a:xfrm>
          <a:off x="7270750" y="90170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603250</xdr:colOff>
      <xdr:row>2</xdr:row>
      <xdr:rowOff>342900</xdr:rowOff>
    </xdr:from>
    <xdr:to>
      <xdr:col>5</xdr:col>
      <xdr:colOff>781050</xdr:colOff>
      <xdr:row>3</xdr:row>
      <xdr:rowOff>95250</xdr:rowOff>
    </xdr:to>
    <xdr:sp macro="" textlink="">
      <xdr:nvSpPr>
        <xdr:cNvPr id="12" name="Flecha: hacia abajo 11">
          <a:extLst>
            <a:ext uri="{FF2B5EF4-FFF2-40B4-BE49-F238E27FC236}">
              <a16:creationId xmlns:a16="http://schemas.microsoft.com/office/drawing/2014/main" id="{1D4718B6-96E3-4AD2-84FB-2E4849ECD9D6}"/>
            </a:ext>
          </a:extLst>
        </xdr:cNvPr>
        <xdr:cNvSpPr/>
      </xdr:nvSpPr>
      <xdr:spPr>
        <a:xfrm>
          <a:off x="7264400" y="136525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590550</xdr:colOff>
      <xdr:row>3</xdr:row>
      <xdr:rowOff>355600</xdr:rowOff>
    </xdr:from>
    <xdr:to>
      <xdr:col>5</xdr:col>
      <xdr:colOff>768350</xdr:colOff>
      <xdr:row>4</xdr:row>
      <xdr:rowOff>107950</xdr:rowOff>
    </xdr:to>
    <xdr:sp macro="" textlink="">
      <xdr:nvSpPr>
        <xdr:cNvPr id="13" name="Flecha: hacia abajo 12">
          <a:extLst>
            <a:ext uri="{FF2B5EF4-FFF2-40B4-BE49-F238E27FC236}">
              <a16:creationId xmlns:a16="http://schemas.microsoft.com/office/drawing/2014/main" id="{BCA4530E-D69F-43E1-AB67-DA333F7B0559}"/>
            </a:ext>
          </a:extLst>
        </xdr:cNvPr>
        <xdr:cNvSpPr/>
      </xdr:nvSpPr>
      <xdr:spPr>
        <a:xfrm>
          <a:off x="7251700" y="181610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590550</xdr:colOff>
      <xdr:row>4</xdr:row>
      <xdr:rowOff>361950</xdr:rowOff>
    </xdr:from>
    <xdr:to>
      <xdr:col>5</xdr:col>
      <xdr:colOff>768350</xdr:colOff>
      <xdr:row>5</xdr:row>
      <xdr:rowOff>114300</xdr:rowOff>
    </xdr:to>
    <xdr:sp macro="" textlink="">
      <xdr:nvSpPr>
        <xdr:cNvPr id="14" name="Flecha: hacia abajo 13">
          <a:extLst>
            <a:ext uri="{FF2B5EF4-FFF2-40B4-BE49-F238E27FC236}">
              <a16:creationId xmlns:a16="http://schemas.microsoft.com/office/drawing/2014/main" id="{4BFB417A-A3DB-4EF4-8B31-F91E144A54F5}"/>
            </a:ext>
          </a:extLst>
        </xdr:cNvPr>
        <xdr:cNvSpPr/>
      </xdr:nvSpPr>
      <xdr:spPr>
        <a:xfrm>
          <a:off x="7251700" y="226060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584200</xdr:colOff>
      <xdr:row>5</xdr:row>
      <xdr:rowOff>374650</xdr:rowOff>
    </xdr:from>
    <xdr:to>
      <xdr:col>5</xdr:col>
      <xdr:colOff>762000</xdr:colOff>
      <xdr:row>6</xdr:row>
      <xdr:rowOff>127000</xdr:rowOff>
    </xdr:to>
    <xdr:sp macro="" textlink="">
      <xdr:nvSpPr>
        <xdr:cNvPr id="15" name="Flecha: hacia abajo 14">
          <a:extLst>
            <a:ext uri="{FF2B5EF4-FFF2-40B4-BE49-F238E27FC236}">
              <a16:creationId xmlns:a16="http://schemas.microsoft.com/office/drawing/2014/main" id="{972D45F4-82A2-4D7F-B5CA-48F646B8E683}"/>
            </a:ext>
          </a:extLst>
        </xdr:cNvPr>
        <xdr:cNvSpPr/>
      </xdr:nvSpPr>
      <xdr:spPr>
        <a:xfrm>
          <a:off x="7245350" y="271145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596900</xdr:colOff>
      <xdr:row>6</xdr:row>
      <xdr:rowOff>457200</xdr:rowOff>
    </xdr:from>
    <xdr:to>
      <xdr:col>5</xdr:col>
      <xdr:colOff>774700</xdr:colOff>
      <xdr:row>7</xdr:row>
      <xdr:rowOff>63500</xdr:rowOff>
    </xdr:to>
    <xdr:sp macro="" textlink="">
      <xdr:nvSpPr>
        <xdr:cNvPr id="16" name="Flecha: hacia abajo 15">
          <a:extLst>
            <a:ext uri="{FF2B5EF4-FFF2-40B4-BE49-F238E27FC236}">
              <a16:creationId xmlns:a16="http://schemas.microsoft.com/office/drawing/2014/main" id="{5D0F9B5E-5EC8-4140-A9C9-E7C0449417BF}"/>
            </a:ext>
          </a:extLst>
        </xdr:cNvPr>
        <xdr:cNvSpPr/>
      </xdr:nvSpPr>
      <xdr:spPr>
        <a:xfrm>
          <a:off x="7258050" y="323215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254000</xdr:colOff>
      <xdr:row>7</xdr:row>
      <xdr:rowOff>76200</xdr:rowOff>
    </xdr:from>
    <xdr:to>
      <xdr:col>5</xdr:col>
      <xdr:colOff>1200150</xdr:colOff>
      <xdr:row>7</xdr:row>
      <xdr:rowOff>419100</xdr:rowOff>
    </xdr:to>
    <xdr:sp macro="" textlink="">
      <xdr:nvSpPr>
        <xdr:cNvPr id="17" name="Diagrama de flujo: documento 16">
          <a:extLst>
            <a:ext uri="{FF2B5EF4-FFF2-40B4-BE49-F238E27FC236}">
              <a16:creationId xmlns:a16="http://schemas.microsoft.com/office/drawing/2014/main" id="{379A8E99-3C6F-4CFF-BC55-E2C20C76B77D}"/>
            </a:ext>
          </a:extLst>
        </xdr:cNvPr>
        <xdr:cNvSpPr/>
      </xdr:nvSpPr>
      <xdr:spPr>
        <a:xfrm>
          <a:off x="6915150" y="3435350"/>
          <a:ext cx="946150" cy="342900"/>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603250</xdr:colOff>
      <xdr:row>7</xdr:row>
      <xdr:rowOff>355600</xdr:rowOff>
    </xdr:from>
    <xdr:to>
      <xdr:col>5</xdr:col>
      <xdr:colOff>781050</xdr:colOff>
      <xdr:row>8</xdr:row>
      <xdr:rowOff>107950</xdr:rowOff>
    </xdr:to>
    <xdr:sp macro="" textlink="">
      <xdr:nvSpPr>
        <xdr:cNvPr id="18" name="Flecha: hacia abajo 17">
          <a:extLst>
            <a:ext uri="{FF2B5EF4-FFF2-40B4-BE49-F238E27FC236}">
              <a16:creationId xmlns:a16="http://schemas.microsoft.com/office/drawing/2014/main" id="{861C207D-E924-4B2B-963B-D77D1D2267D5}"/>
            </a:ext>
          </a:extLst>
        </xdr:cNvPr>
        <xdr:cNvSpPr/>
      </xdr:nvSpPr>
      <xdr:spPr>
        <a:xfrm>
          <a:off x="7264400" y="3714750"/>
          <a:ext cx="17780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1467553</xdr:colOff>
      <xdr:row>0</xdr:row>
      <xdr:rowOff>190500</xdr:rowOff>
    </xdr:from>
    <xdr:to>
      <xdr:col>7</xdr:col>
      <xdr:colOff>257659</xdr:colOff>
      <xdr:row>3</xdr:row>
      <xdr:rowOff>84667</xdr:rowOff>
    </xdr:to>
    <xdr:pic>
      <xdr:nvPicPr>
        <xdr:cNvPr id="2" name="Imagen 1" descr="Total de Estudiantes matriculados de la carrera de Ingeniería en  Telecomunicaciones y Redes en la FIE - Conjunto de datos - Datos Abiertos  ESPOCH">
          <a:extLst>
            <a:ext uri="{FF2B5EF4-FFF2-40B4-BE49-F238E27FC236}">
              <a16:creationId xmlns:a16="http://schemas.microsoft.com/office/drawing/2014/main" id="{1132BF41-7BF6-4759-9169-986696DCF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5164" y="190500"/>
          <a:ext cx="1273662" cy="444500"/>
        </a:xfrm>
        <a:prstGeom prst="rect">
          <a:avLst/>
        </a:prstGeom>
        <a:noFill/>
        <a:ln>
          <a:noFill/>
        </a:ln>
      </xdr:spPr>
    </xdr:pic>
    <xdr:clientData/>
  </xdr:twoCellAnchor>
  <xdr:twoCellAnchor editAs="oneCell">
    <xdr:from>
      <xdr:col>0</xdr:col>
      <xdr:colOff>246943</xdr:colOff>
      <xdr:row>0</xdr:row>
      <xdr:rowOff>0</xdr:rowOff>
    </xdr:from>
    <xdr:to>
      <xdr:col>1</xdr:col>
      <xdr:colOff>1417383</xdr:colOff>
      <xdr:row>4</xdr:row>
      <xdr:rowOff>84667</xdr:rowOff>
    </xdr:to>
    <xdr:pic>
      <xdr:nvPicPr>
        <xdr:cNvPr id="4" name="Imagen 3">
          <a:extLst>
            <a:ext uri="{FF2B5EF4-FFF2-40B4-BE49-F238E27FC236}">
              <a16:creationId xmlns:a16="http://schemas.microsoft.com/office/drawing/2014/main" id="{2BC18C8F-09DC-4346-A613-889FF6A7D4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943" y="0"/>
          <a:ext cx="1417384" cy="7972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206375</xdr:colOff>
      <xdr:row>1</xdr:row>
      <xdr:rowOff>9348</xdr:rowOff>
    </xdr:from>
    <xdr:to>
      <xdr:col>6</xdr:col>
      <xdr:colOff>389606</xdr:colOff>
      <xdr:row>3</xdr:row>
      <xdr:rowOff>123601</xdr:rowOff>
    </xdr:to>
    <xdr:pic>
      <xdr:nvPicPr>
        <xdr:cNvPr id="2" name="Imagen 1" descr="Total de Estudiantes matriculados de la carrera de Ingeniería en  Telecomunicaciones y Redes en la FIE - Conjunto de datos - Datos Abiertos  ESPOCH">
          <a:extLst>
            <a:ext uri="{FF2B5EF4-FFF2-40B4-BE49-F238E27FC236}">
              <a16:creationId xmlns:a16="http://schemas.microsoft.com/office/drawing/2014/main" id="{B3516905-8E90-4D45-8B58-7A5769549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20250" y="231598"/>
          <a:ext cx="1246856" cy="479378"/>
        </a:xfrm>
        <a:prstGeom prst="rect">
          <a:avLst/>
        </a:prstGeom>
        <a:noFill/>
        <a:ln>
          <a:noFill/>
        </a:ln>
      </xdr:spPr>
    </xdr:pic>
    <xdr:clientData/>
  </xdr:twoCellAnchor>
  <xdr:twoCellAnchor editAs="oneCell">
    <xdr:from>
      <xdr:col>0</xdr:col>
      <xdr:colOff>254880</xdr:colOff>
      <xdr:row>0</xdr:row>
      <xdr:rowOff>0</xdr:rowOff>
    </xdr:from>
    <xdr:to>
      <xdr:col>2</xdr:col>
      <xdr:colOff>746124</xdr:colOff>
      <xdr:row>4</xdr:row>
      <xdr:rowOff>118754</xdr:rowOff>
    </xdr:to>
    <xdr:pic>
      <xdr:nvPicPr>
        <xdr:cNvPr id="3" name="Imagen 2">
          <a:extLst>
            <a:ext uri="{FF2B5EF4-FFF2-40B4-BE49-F238E27FC236}">
              <a16:creationId xmlns:a16="http://schemas.microsoft.com/office/drawing/2014/main" id="{A5CFF30A-7EC6-4074-A71B-0EFAEE8A57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4880" y="0"/>
          <a:ext cx="1499307" cy="8886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292100</xdr:colOff>
      <xdr:row>1</xdr:row>
      <xdr:rowOff>0</xdr:rowOff>
    </xdr:from>
    <xdr:to>
      <xdr:col>7</xdr:col>
      <xdr:colOff>599856</xdr:colOff>
      <xdr:row>3</xdr:row>
      <xdr:rowOff>110067</xdr:rowOff>
    </xdr:to>
    <xdr:pic>
      <xdr:nvPicPr>
        <xdr:cNvPr id="2" name="Imagen 1" descr="Total de Estudiantes matriculados de la carrera de Ingeniería en  Telecomunicaciones y Redes en la FIE - Conjunto de datos - Datos Abiertos  ESPOCH">
          <a:extLst>
            <a:ext uri="{FF2B5EF4-FFF2-40B4-BE49-F238E27FC236}">
              <a16:creationId xmlns:a16="http://schemas.microsoft.com/office/drawing/2014/main" id="{B876C38C-50DC-4A5A-BC11-37EC4047D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5400" y="222250"/>
          <a:ext cx="1272956" cy="478367"/>
        </a:xfrm>
        <a:prstGeom prst="rect">
          <a:avLst/>
        </a:prstGeom>
        <a:noFill/>
        <a:ln>
          <a:noFill/>
        </a:ln>
      </xdr:spPr>
    </xdr:pic>
    <xdr:clientData/>
  </xdr:twoCellAnchor>
  <xdr:twoCellAnchor editAs="oneCell">
    <xdr:from>
      <xdr:col>0</xdr:col>
      <xdr:colOff>246943</xdr:colOff>
      <xdr:row>0</xdr:row>
      <xdr:rowOff>0</xdr:rowOff>
    </xdr:from>
    <xdr:to>
      <xdr:col>1</xdr:col>
      <xdr:colOff>1417383</xdr:colOff>
      <xdr:row>4</xdr:row>
      <xdr:rowOff>65617</xdr:rowOff>
    </xdr:to>
    <xdr:pic>
      <xdr:nvPicPr>
        <xdr:cNvPr id="3" name="Imagen 2">
          <a:extLst>
            <a:ext uri="{FF2B5EF4-FFF2-40B4-BE49-F238E27FC236}">
              <a16:creationId xmlns:a16="http://schemas.microsoft.com/office/drawing/2014/main" id="{20C35DBC-EF80-4404-AEAB-DD44701FD3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943" y="0"/>
          <a:ext cx="1418090" cy="80221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103C-F4E0-4C8C-B9F5-F289D9DA8088}">
  <dimension ref="A1:K25"/>
  <sheetViews>
    <sheetView workbookViewId="0">
      <pane ySplit="1" topLeftCell="A5" activePane="bottomLeft" state="frozen"/>
      <selection pane="bottomLeft" activeCell="G3" sqref="G3"/>
    </sheetView>
  </sheetViews>
  <sheetFormatPr baseColWidth="10" defaultColWidth="10.77734375" defaultRowHeight="11.4" x14ac:dyDescent="0.2"/>
  <cols>
    <col min="1" max="1" width="4.5546875" style="27" customWidth="1"/>
    <col min="2" max="2" width="3.77734375" style="34" bestFit="1" customWidth="1"/>
    <col min="3" max="3" width="44.21875" style="26" customWidth="1"/>
    <col min="4" max="10" width="21.44140625" style="26" customWidth="1"/>
    <col min="11" max="11" width="10.77734375" style="26"/>
    <col min="12" max="16384" width="10.77734375" style="27"/>
  </cols>
  <sheetData>
    <row r="1" spans="1:11" s="45" customFormat="1" ht="22.8" x14ac:dyDescent="0.2">
      <c r="A1" s="33" t="s">
        <v>171</v>
      </c>
      <c r="B1" s="33" t="s">
        <v>7</v>
      </c>
      <c r="C1" s="33" t="s">
        <v>172</v>
      </c>
      <c r="D1" s="33" t="s">
        <v>167</v>
      </c>
      <c r="E1" s="33" t="s">
        <v>168</v>
      </c>
      <c r="F1" s="33" t="s">
        <v>310</v>
      </c>
      <c r="G1" s="33" t="s">
        <v>169</v>
      </c>
      <c r="H1" s="33" t="s">
        <v>170</v>
      </c>
      <c r="I1" s="44"/>
      <c r="J1" s="44"/>
      <c r="K1" s="44"/>
    </row>
    <row r="2" spans="1:11" ht="68.400000000000006" x14ac:dyDescent="0.2">
      <c r="A2" s="58" t="s">
        <v>173</v>
      </c>
      <c r="B2" s="33">
        <v>1</v>
      </c>
      <c r="C2" s="28" t="s">
        <v>244</v>
      </c>
      <c r="D2" s="28" t="s">
        <v>241</v>
      </c>
      <c r="E2" s="28" t="s">
        <v>242</v>
      </c>
      <c r="F2" s="28"/>
      <c r="G2" s="28" t="s">
        <v>226</v>
      </c>
      <c r="H2" s="28" t="s">
        <v>166</v>
      </c>
    </row>
    <row r="3" spans="1:11" ht="34.200000000000003" x14ac:dyDescent="0.2">
      <c r="A3" s="58"/>
      <c r="B3" s="33">
        <v>2</v>
      </c>
      <c r="C3" s="28" t="s">
        <v>272</v>
      </c>
      <c r="D3" s="28" t="s">
        <v>174</v>
      </c>
      <c r="E3" s="28" t="s">
        <v>174</v>
      </c>
      <c r="F3" s="28"/>
      <c r="G3" s="28" t="s">
        <v>227</v>
      </c>
      <c r="H3" s="28" t="s">
        <v>176</v>
      </c>
      <c r="I3" s="27"/>
    </row>
    <row r="4" spans="1:11" ht="34.200000000000003" x14ac:dyDescent="0.2">
      <c r="A4" s="58"/>
      <c r="B4" s="33">
        <v>3</v>
      </c>
      <c r="C4" s="28" t="s">
        <v>229</v>
      </c>
      <c r="D4" s="28" t="s">
        <v>174</v>
      </c>
      <c r="E4" s="28" t="s">
        <v>177</v>
      </c>
      <c r="F4" s="28"/>
      <c r="G4" s="28" t="s">
        <v>230</v>
      </c>
      <c r="H4" s="28" t="s">
        <v>231</v>
      </c>
    </row>
    <row r="5" spans="1:11" ht="34.200000000000003" x14ac:dyDescent="0.2">
      <c r="A5" s="58"/>
      <c r="B5" s="33">
        <v>4</v>
      </c>
      <c r="C5" s="26" t="s">
        <v>225</v>
      </c>
      <c r="D5" s="28" t="s">
        <v>174</v>
      </c>
      <c r="E5" s="28" t="s">
        <v>174</v>
      </c>
      <c r="F5" s="28"/>
      <c r="G5" s="28" t="s">
        <v>228</v>
      </c>
      <c r="H5" s="28" t="s">
        <v>175</v>
      </c>
    </row>
    <row r="6" spans="1:11" ht="34.200000000000003" x14ac:dyDescent="0.2">
      <c r="A6" s="58"/>
      <c r="B6" s="33">
        <v>5</v>
      </c>
      <c r="C6" s="28" t="s">
        <v>232</v>
      </c>
      <c r="D6" s="28" t="s">
        <v>233</v>
      </c>
      <c r="E6" s="28" t="s">
        <v>177</v>
      </c>
      <c r="F6" s="28"/>
      <c r="G6" s="28" t="s">
        <v>230</v>
      </c>
      <c r="H6" s="28" t="s">
        <v>178</v>
      </c>
    </row>
    <row r="7" spans="1:11" ht="45.6" x14ac:dyDescent="0.2">
      <c r="A7" s="58"/>
      <c r="B7" s="33">
        <v>6</v>
      </c>
      <c r="C7" s="28" t="s">
        <v>179</v>
      </c>
      <c r="D7" s="28" t="s">
        <v>233</v>
      </c>
      <c r="E7" s="28" t="s">
        <v>177</v>
      </c>
      <c r="F7" s="28"/>
      <c r="G7" s="28" t="s">
        <v>219</v>
      </c>
      <c r="H7" s="28" t="s">
        <v>235</v>
      </c>
    </row>
    <row r="8" spans="1:11" ht="34.200000000000003" x14ac:dyDescent="0.2">
      <c r="A8" s="58"/>
      <c r="B8" s="33">
        <v>7</v>
      </c>
      <c r="C8" s="28" t="s">
        <v>234</v>
      </c>
      <c r="D8" s="28" t="s">
        <v>181</v>
      </c>
      <c r="E8" s="28" t="s">
        <v>182</v>
      </c>
      <c r="F8" s="28"/>
      <c r="G8" s="28" t="s">
        <v>180</v>
      </c>
      <c r="H8" s="28" t="s">
        <v>183</v>
      </c>
    </row>
    <row r="9" spans="1:11" ht="34.5" customHeight="1" x14ac:dyDescent="0.2">
      <c r="A9" s="56" t="s">
        <v>184</v>
      </c>
      <c r="B9" s="33">
        <v>8</v>
      </c>
      <c r="C9" s="28" t="s">
        <v>185</v>
      </c>
      <c r="D9" s="28" t="s">
        <v>186</v>
      </c>
      <c r="E9" s="28" t="s">
        <v>187</v>
      </c>
      <c r="F9" s="28"/>
      <c r="G9" s="28" t="s">
        <v>180</v>
      </c>
      <c r="H9" s="28" t="s">
        <v>188</v>
      </c>
    </row>
    <row r="10" spans="1:11" ht="22.8" x14ac:dyDescent="0.2">
      <c r="A10" s="57"/>
      <c r="B10" s="33">
        <v>9</v>
      </c>
      <c r="C10" s="28" t="s">
        <v>189</v>
      </c>
      <c r="D10" s="28" t="s">
        <v>187</v>
      </c>
      <c r="E10" s="28" t="s">
        <v>187</v>
      </c>
      <c r="F10" s="28"/>
      <c r="G10" s="28" t="s">
        <v>180</v>
      </c>
      <c r="H10" s="28" t="s">
        <v>190</v>
      </c>
    </row>
    <row r="11" spans="1:11" ht="45.6" x14ac:dyDescent="0.2">
      <c r="A11" s="57"/>
      <c r="B11" s="33">
        <v>10</v>
      </c>
      <c r="C11" s="28" t="s">
        <v>191</v>
      </c>
      <c r="D11" s="28" t="s">
        <v>192</v>
      </c>
      <c r="E11" s="28" t="s">
        <v>192</v>
      </c>
      <c r="F11" s="28"/>
      <c r="G11" s="28" t="s">
        <v>193</v>
      </c>
      <c r="H11" s="28" t="s">
        <v>194</v>
      </c>
    </row>
    <row r="12" spans="1:11" ht="68.400000000000006" x14ac:dyDescent="0.2">
      <c r="A12" s="57"/>
      <c r="B12" s="33">
        <v>11</v>
      </c>
      <c r="C12" s="28" t="s">
        <v>236</v>
      </c>
      <c r="D12" s="29" t="s">
        <v>237</v>
      </c>
      <c r="E12" s="29" t="s">
        <v>237</v>
      </c>
      <c r="F12" s="29"/>
      <c r="G12" s="28" t="s">
        <v>195</v>
      </c>
      <c r="H12" s="28" t="s">
        <v>223</v>
      </c>
    </row>
    <row r="13" spans="1:11" ht="34.200000000000003" x14ac:dyDescent="0.2">
      <c r="A13" s="57"/>
      <c r="B13" s="33">
        <v>12</v>
      </c>
      <c r="C13" s="28" t="s">
        <v>196</v>
      </c>
      <c r="D13" s="29" t="s">
        <v>237</v>
      </c>
      <c r="E13" s="29" t="s">
        <v>237</v>
      </c>
      <c r="F13" s="29"/>
      <c r="G13" s="28" t="s">
        <v>195</v>
      </c>
      <c r="H13" s="28" t="s">
        <v>197</v>
      </c>
    </row>
    <row r="14" spans="1:11" ht="34.200000000000003" x14ac:dyDescent="0.2">
      <c r="A14" s="57"/>
      <c r="B14" s="33">
        <v>13</v>
      </c>
      <c r="C14" s="28" t="s">
        <v>198</v>
      </c>
      <c r="D14" s="29" t="s">
        <v>238</v>
      </c>
      <c r="E14" s="29" t="s">
        <v>238</v>
      </c>
      <c r="F14" s="29"/>
      <c r="G14" s="28" t="s">
        <v>195</v>
      </c>
      <c r="H14" s="28" t="s">
        <v>199</v>
      </c>
    </row>
    <row r="15" spans="1:11" ht="34.200000000000003" x14ac:dyDescent="0.2">
      <c r="A15" s="57"/>
      <c r="B15" s="33">
        <v>14</v>
      </c>
      <c r="C15" s="28" t="s">
        <v>200</v>
      </c>
      <c r="D15" s="29" t="s">
        <v>239</v>
      </c>
      <c r="E15" s="29" t="s">
        <v>239</v>
      </c>
      <c r="F15" s="29"/>
      <c r="G15" s="28" t="s">
        <v>195</v>
      </c>
      <c r="H15" s="28" t="s">
        <v>201</v>
      </c>
    </row>
    <row r="16" spans="1:11" ht="57" x14ac:dyDescent="0.2">
      <c r="A16" s="57"/>
      <c r="B16" s="33">
        <v>15</v>
      </c>
      <c r="C16" s="31" t="s">
        <v>220</v>
      </c>
      <c r="D16" s="29" t="s">
        <v>239</v>
      </c>
      <c r="E16" s="32" t="s">
        <v>240</v>
      </c>
      <c r="F16" s="32"/>
      <c r="G16" s="28" t="s">
        <v>195</v>
      </c>
      <c r="H16" s="28" t="s">
        <v>202</v>
      </c>
    </row>
    <row r="17" spans="1:8" ht="57" x14ac:dyDescent="0.2">
      <c r="A17" s="57"/>
      <c r="B17" s="33">
        <v>16</v>
      </c>
      <c r="C17" s="31" t="s">
        <v>221</v>
      </c>
      <c r="D17" s="29" t="s">
        <v>239</v>
      </c>
      <c r="E17" s="32" t="s">
        <v>240</v>
      </c>
      <c r="F17" s="32"/>
      <c r="G17" s="28" t="s">
        <v>195</v>
      </c>
      <c r="H17" s="28" t="s">
        <v>203</v>
      </c>
    </row>
    <row r="18" spans="1:8" ht="57" x14ac:dyDescent="0.2">
      <c r="A18" s="57"/>
      <c r="B18" s="33">
        <v>17</v>
      </c>
      <c r="C18" s="31" t="s">
        <v>222</v>
      </c>
      <c r="D18" s="29" t="s">
        <v>239</v>
      </c>
      <c r="E18" s="32" t="s">
        <v>240</v>
      </c>
      <c r="F18" s="32"/>
      <c r="G18" s="28" t="s">
        <v>195</v>
      </c>
      <c r="H18" s="28" t="s">
        <v>204</v>
      </c>
    </row>
    <row r="19" spans="1:8" ht="57" x14ac:dyDescent="0.2">
      <c r="A19" s="57"/>
      <c r="B19" s="33">
        <v>18</v>
      </c>
      <c r="C19" s="28" t="s">
        <v>205</v>
      </c>
      <c r="D19" s="29" t="s">
        <v>239</v>
      </c>
      <c r="E19" s="32" t="s">
        <v>240</v>
      </c>
      <c r="F19" s="32"/>
      <c r="G19" s="28" t="s">
        <v>195</v>
      </c>
      <c r="H19" s="28" t="s">
        <v>206</v>
      </c>
    </row>
    <row r="20" spans="1:8" ht="57" x14ac:dyDescent="0.2">
      <c r="A20" s="57"/>
      <c r="B20" s="33">
        <v>19</v>
      </c>
      <c r="C20" s="28" t="s">
        <v>207</v>
      </c>
      <c r="D20" s="29" t="s">
        <v>239</v>
      </c>
      <c r="E20" s="32" t="s">
        <v>240</v>
      </c>
      <c r="F20" s="32"/>
      <c r="G20" s="28" t="s">
        <v>195</v>
      </c>
      <c r="H20" s="28" t="s">
        <v>208</v>
      </c>
    </row>
    <row r="21" spans="1:8" ht="57" x14ac:dyDescent="0.2">
      <c r="A21" s="57"/>
      <c r="B21" s="33">
        <v>20</v>
      </c>
      <c r="C21" s="28" t="s">
        <v>209</v>
      </c>
      <c r="D21" s="29" t="s">
        <v>239</v>
      </c>
      <c r="E21" s="32" t="s">
        <v>240</v>
      </c>
      <c r="F21" s="32"/>
      <c r="G21" s="28" t="s">
        <v>193</v>
      </c>
      <c r="H21" s="28" t="s">
        <v>210</v>
      </c>
    </row>
    <row r="22" spans="1:8" ht="57" x14ac:dyDescent="0.2">
      <c r="A22" s="57"/>
      <c r="B22" s="33">
        <v>21</v>
      </c>
      <c r="C22" s="28" t="s">
        <v>211</v>
      </c>
      <c r="D22" s="29" t="s">
        <v>239</v>
      </c>
      <c r="E22" s="32" t="s">
        <v>240</v>
      </c>
      <c r="F22" s="32"/>
      <c r="G22" s="28" t="s">
        <v>193</v>
      </c>
      <c r="H22" s="28" t="s">
        <v>212</v>
      </c>
    </row>
    <row r="23" spans="1:8" ht="57" x14ac:dyDescent="0.2">
      <c r="A23" s="55" t="s">
        <v>213</v>
      </c>
      <c r="B23" s="33">
        <v>22</v>
      </c>
      <c r="C23" s="28" t="s">
        <v>214</v>
      </c>
      <c r="D23" s="29" t="s">
        <v>239</v>
      </c>
      <c r="E23" s="32" t="s">
        <v>240</v>
      </c>
      <c r="F23" s="32"/>
      <c r="G23" s="28" t="s">
        <v>230</v>
      </c>
      <c r="H23" s="28" t="s">
        <v>215</v>
      </c>
    </row>
    <row r="24" spans="1:8" ht="57" x14ac:dyDescent="0.2">
      <c r="A24" s="55"/>
      <c r="B24" s="33">
        <v>23</v>
      </c>
      <c r="C24" s="28" t="s">
        <v>216</v>
      </c>
      <c r="D24" s="29" t="s">
        <v>239</v>
      </c>
      <c r="E24" s="32" t="s">
        <v>240</v>
      </c>
      <c r="F24" s="32"/>
      <c r="G24" s="28" t="s">
        <v>193</v>
      </c>
      <c r="H24" s="28" t="s">
        <v>224</v>
      </c>
    </row>
    <row r="25" spans="1:8" ht="57" x14ac:dyDescent="0.2">
      <c r="A25" s="55"/>
      <c r="B25" s="33">
        <v>24</v>
      </c>
      <c r="C25" s="28" t="s">
        <v>217</v>
      </c>
      <c r="D25" s="29" t="s">
        <v>239</v>
      </c>
      <c r="E25" s="30" t="s">
        <v>240</v>
      </c>
      <c r="F25" s="30"/>
      <c r="G25" s="28" t="s">
        <v>180</v>
      </c>
      <c r="H25" s="28" t="s">
        <v>218</v>
      </c>
    </row>
  </sheetData>
  <mergeCells count="3">
    <mergeCell ref="A23:A25"/>
    <mergeCell ref="A9:A22"/>
    <mergeCell ref="A2:A8"/>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0EC-BF7D-4213-983B-97403CD863AB}">
  <sheetPr>
    <pageSetUpPr fitToPage="1"/>
  </sheetPr>
  <dimension ref="A1:H41"/>
  <sheetViews>
    <sheetView tabSelected="1" zoomScale="90" zoomScaleNormal="90" zoomScaleSheetLayoutView="90" workbookViewId="0">
      <selection activeCell="C9" sqref="C9"/>
    </sheetView>
  </sheetViews>
  <sheetFormatPr baseColWidth="10" defaultColWidth="10.77734375" defaultRowHeight="13.2" x14ac:dyDescent="0.3"/>
  <cols>
    <col min="1" max="1" width="3.5546875" style="3" bestFit="1" customWidth="1"/>
    <col min="2" max="2" width="53.5546875" style="1" bestFit="1" customWidth="1"/>
    <col min="3" max="3" width="30.44140625" style="6" bestFit="1" customWidth="1"/>
    <col min="4" max="4" width="16" style="4" bestFit="1" customWidth="1"/>
    <col min="5" max="5" width="10.77734375" style="3"/>
    <col min="6" max="6" width="14" style="3" bestFit="1" customWidth="1"/>
    <col min="7" max="7" width="35.5546875" style="6" customWidth="1"/>
    <col min="8" max="8" width="10" style="1" bestFit="1" customWidth="1"/>
    <col min="9" max="16384" width="10.77734375" style="1"/>
  </cols>
  <sheetData>
    <row r="1" spans="1:8" ht="17.399999999999999" x14ac:dyDescent="0.3">
      <c r="A1" s="50" t="s">
        <v>326</v>
      </c>
      <c r="B1" s="50"/>
      <c r="C1" s="50"/>
      <c r="D1" s="50"/>
      <c r="E1" s="50"/>
      <c r="F1" s="50"/>
      <c r="G1" s="50"/>
      <c r="H1" s="50"/>
    </row>
    <row r="2" spans="1:8" x14ac:dyDescent="0.3">
      <c r="A2" s="51" t="s">
        <v>328</v>
      </c>
      <c r="B2" s="51"/>
      <c r="C2" s="51"/>
      <c r="D2" s="51"/>
      <c r="E2" s="51"/>
      <c r="F2" s="51"/>
      <c r="G2" s="51"/>
      <c r="H2" s="51"/>
    </row>
    <row r="3" spans="1:8" x14ac:dyDescent="0.3">
      <c r="A3" s="51" t="s">
        <v>327</v>
      </c>
      <c r="B3" s="51"/>
      <c r="C3" s="51"/>
      <c r="D3" s="51"/>
      <c r="E3" s="51"/>
      <c r="F3" s="51"/>
      <c r="G3" s="51"/>
      <c r="H3" s="51"/>
    </row>
    <row r="4" spans="1:8" x14ac:dyDescent="0.3">
      <c r="A4" s="52" t="s">
        <v>329</v>
      </c>
      <c r="B4" s="52"/>
      <c r="C4" s="52"/>
      <c r="D4" s="52"/>
      <c r="E4" s="52"/>
      <c r="F4" s="52"/>
      <c r="G4" s="52"/>
      <c r="H4" s="52"/>
    </row>
    <row r="5" spans="1:8" x14ac:dyDescent="0.3">
      <c r="A5" s="53" t="s">
        <v>330</v>
      </c>
      <c r="B5" s="54"/>
      <c r="C5" s="54"/>
      <c r="D5" s="54"/>
      <c r="E5" s="54"/>
      <c r="F5" s="54"/>
      <c r="G5" s="54"/>
      <c r="H5" s="54"/>
    </row>
    <row r="6" spans="1:8" s="5" customFormat="1" x14ac:dyDescent="0.3">
      <c r="A6" s="59" t="s">
        <v>7</v>
      </c>
      <c r="B6" s="59" t="s">
        <v>303</v>
      </c>
      <c r="C6" s="61" t="s">
        <v>0</v>
      </c>
      <c r="D6" s="63" t="s">
        <v>8</v>
      </c>
      <c r="E6" s="65" t="s">
        <v>1</v>
      </c>
      <c r="F6" s="66"/>
      <c r="G6" s="36" t="s">
        <v>2</v>
      </c>
      <c r="H6" s="35" t="s">
        <v>9</v>
      </c>
    </row>
    <row r="7" spans="1:8" s="5" customFormat="1" x14ac:dyDescent="0.3">
      <c r="A7" s="60"/>
      <c r="B7" s="60"/>
      <c r="C7" s="62"/>
      <c r="D7" s="64"/>
      <c r="E7" s="35" t="s">
        <v>304</v>
      </c>
      <c r="F7" s="35" t="s">
        <v>305</v>
      </c>
      <c r="G7" s="36"/>
      <c r="H7" s="35"/>
    </row>
    <row r="8" spans="1:8" ht="26.4" x14ac:dyDescent="0.3">
      <c r="A8" s="38">
        <v>1</v>
      </c>
      <c r="B8" s="37" t="s">
        <v>275</v>
      </c>
      <c r="C8" s="37" t="s">
        <v>277</v>
      </c>
      <c r="D8" s="42"/>
      <c r="E8" s="38">
        <v>1</v>
      </c>
      <c r="F8" s="38">
        <v>1</v>
      </c>
      <c r="G8" s="37" t="s">
        <v>276</v>
      </c>
      <c r="H8" s="37"/>
    </row>
    <row r="9" spans="1:8" ht="26.4" x14ac:dyDescent="0.3">
      <c r="A9" s="38">
        <v>2</v>
      </c>
      <c r="B9" s="37" t="s">
        <v>294</v>
      </c>
      <c r="C9" s="37" t="s">
        <v>295</v>
      </c>
      <c r="D9" s="42"/>
      <c r="E9" s="38">
        <v>1</v>
      </c>
      <c r="F9" s="38">
        <v>1</v>
      </c>
      <c r="G9" s="37" t="s">
        <v>276</v>
      </c>
      <c r="H9" s="37"/>
    </row>
    <row r="10" spans="1:8" ht="52.8" x14ac:dyDescent="0.3">
      <c r="A10" s="38">
        <v>3</v>
      </c>
      <c r="B10" s="37" t="s">
        <v>323</v>
      </c>
      <c r="C10" s="37" t="s">
        <v>309</v>
      </c>
      <c r="D10" s="42" t="s">
        <v>322</v>
      </c>
      <c r="E10" s="38">
        <v>1</v>
      </c>
      <c r="F10" s="38">
        <v>1</v>
      </c>
      <c r="G10" s="37" t="s">
        <v>276</v>
      </c>
      <c r="H10" s="37"/>
    </row>
    <row r="11" spans="1:8" ht="86.55" customHeight="1" x14ac:dyDescent="0.3">
      <c r="A11" s="38">
        <v>4</v>
      </c>
      <c r="B11" s="37" t="s">
        <v>245</v>
      </c>
      <c r="C11" s="37" t="s">
        <v>261</v>
      </c>
      <c r="D11" s="42" t="s">
        <v>273</v>
      </c>
      <c r="E11" s="38">
        <v>2</v>
      </c>
      <c r="F11" s="38">
        <v>2</v>
      </c>
      <c r="G11" s="37" t="s">
        <v>246</v>
      </c>
      <c r="H11" s="39"/>
    </row>
    <row r="12" spans="1:8" ht="39.6" x14ac:dyDescent="0.3">
      <c r="A12" s="38">
        <v>5</v>
      </c>
      <c r="B12" s="37" t="s">
        <v>247</v>
      </c>
      <c r="C12" s="37" t="s">
        <v>262</v>
      </c>
      <c r="D12" s="42" t="s">
        <v>273</v>
      </c>
      <c r="E12" s="38">
        <v>1</v>
      </c>
      <c r="F12" s="38">
        <v>1</v>
      </c>
      <c r="G12" s="37" t="s">
        <v>248</v>
      </c>
      <c r="H12" s="39"/>
    </row>
    <row r="13" spans="1:8" ht="118.8" x14ac:dyDescent="0.3">
      <c r="A13" s="38">
        <v>6</v>
      </c>
      <c r="B13" s="37" t="s">
        <v>300</v>
      </c>
      <c r="C13" s="37" t="s">
        <v>263</v>
      </c>
      <c r="D13" s="42" t="s">
        <v>249</v>
      </c>
      <c r="E13" s="38">
        <v>3</v>
      </c>
      <c r="F13" s="38">
        <v>2</v>
      </c>
      <c r="G13" s="37" t="s">
        <v>250</v>
      </c>
      <c r="H13" s="39"/>
    </row>
    <row r="14" spans="1:8" ht="39.6" x14ac:dyDescent="0.3">
      <c r="A14" s="38">
        <v>7</v>
      </c>
      <c r="B14" s="37" t="s">
        <v>251</v>
      </c>
      <c r="C14" s="37" t="s">
        <v>264</v>
      </c>
      <c r="D14" s="42" t="s">
        <v>274</v>
      </c>
      <c r="E14" s="38">
        <v>1</v>
      </c>
      <c r="F14" s="38">
        <v>1</v>
      </c>
      <c r="G14" s="41" t="s">
        <v>278</v>
      </c>
      <c r="H14" s="39"/>
    </row>
    <row r="15" spans="1:8" ht="118.8" x14ac:dyDescent="0.3">
      <c r="A15" s="38">
        <v>8</v>
      </c>
      <c r="B15" s="37" t="s">
        <v>252</v>
      </c>
      <c r="C15" s="37" t="s">
        <v>279</v>
      </c>
      <c r="D15" s="43" t="s">
        <v>280</v>
      </c>
      <c r="E15" s="40">
        <v>4</v>
      </c>
      <c r="F15" s="38">
        <v>2</v>
      </c>
      <c r="G15" s="37" t="s">
        <v>165</v>
      </c>
      <c r="H15" s="37"/>
    </row>
    <row r="16" spans="1:8" ht="39.6" x14ac:dyDescent="0.3">
      <c r="A16" s="38">
        <v>9</v>
      </c>
      <c r="B16" s="37" t="s">
        <v>253</v>
      </c>
      <c r="C16" s="37" t="s">
        <v>265</v>
      </c>
      <c r="D16" s="42" t="s">
        <v>284</v>
      </c>
      <c r="E16" s="40">
        <v>4</v>
      </c>
      <c r="F16" s="38">
        <v>2</v>
      </c>
      <c r="G16" s="37" t="s">
        <v>164</v>
      </c>
      <c r="H16" s="37"/>
    </row>
    <row r="17" spans="1:8" ht="52.8" x14ac:dyDescent="0.3">
      <c r="A17" s="38">
        <v>10</v>
      </c>
      <c r="B17" s="37" t="s">
        <v>281</v>
      </c>
      <c r="C17" s="37" t="s">
        <v>266</v>
      </c>
      <c r="D17" s="42" t="s">
        <v>282</v>
      </c>
      <c r="E17" s="38">
        <v>2</v>
      </c>
      <c r="F17" s="38">
        <v>2</v>
      </c>
      <c r="G17" s="37" t="s">
        <v>276</v>
      </c>
      <c r="H17" s="39"/>
    </row>
    <row r="18" spans="1:8" ht="52.8" x14ac:dyDescent="0.3">
      <c r="A18" s="38">
        <v>11</v>
      </c>
      <c r="B18" s="37" t="s">
        <v>254</v>
      </c>
      <c r="C18" s="37" t="s">
        <v>283</v>
      </c>
      <c r="D18" s="42" t="s">
        <v>4</v>
      </c>
      <c r="E18" s="38">
        <v>10</v>
      </c>
      <c r="F18" s="38">
        <v>10</v>
      </c>
      <c r="G18" s="37" t="s">
        <v>3</v>
      </c>
      <c r="H18" s="39" t="s">
        <v>316</v>
      </c>
    </row>
    <row r="19" spans="1:8" ht="26.4" x14ac:dyDescent="0.3">
      <c r="A19" s="38">
        <v>12</v>
      </c>
      <c r="B19" s="37" t="s">
        <v>306</v>
      </c>
      <c r="C19" s="37" t="s">
        <v>307</v>
      </c>
      <c r="D19" s="42" t="s">
        <v>308</v>
      </c>
      <c r="E19" s="38">
        <v>2</v>
      </c>
      <c r="F19" s="38">
        <v>2</v>
      </c>
      <c r="G19" s="37" t="s">
        <v>10</v>
      </c>
      <c r="H19" s="39"/>
    </row>
    <row r="20" spans="1:8" ht="105.6" x14ac:dyDescent="0.3">
      <c r="A20" s="38">
        <v>13</v>
      </c>
      <c r="B20" s="39" t="s">
        <v>255</v>
      </c>
      <c r="C20" s="37" t="s">
        <v>267</v>
      </c>
      <c r="D20" s="42" t="s">
        <v>5</v>
      </c>
      <c r="E20" s="38">
        <v>1</v>
      </c>
      <c r="F20" s="38">
        <v>1</v>
      </c>
      <c r="G20" s="37" t="s">
        <v>259</v>
      </c>
      <c r="H20" s="39"/>
    </row>
    <row r="21" spans="1:8" ht="39.6" x14ac:dyDescent="0.3">
      <c r="A21" s="38">
        <v>14</v>
      </c>
      <c r="B21" s="37" t="s">
        <v>285</v>
      </c>
      <c r="C21" s="37" t="s">
        <v>268</v>
      </c>
      <c r="D21" s="43" t="s">
        <v>286</v>
      </c>
      <c r="E21" s="38">
        <v>4</v>
      </c>
      <c r="F21" s="38">
        <v>2</v>
      </c>
      <c r="G21" s="37" t="s">
        <v>6</v>
      </c>
      <c r="H21" s="39"/>
    </row>
    <row r="22" spans="1:8" ht="26.4" x14ac:dyDescent="0.3">
      <c r="A22" s="38">
        <v>15</v>
      </c>
      <c r="B22" s="37" t="s">
        <v>291</v>
      </c>
      <c r="C22" s="37" t="s">
        <v>292</v>
      </c>
      <c r="D22" s="43" t="s">
        <v>293</v>
      </c>
      <c r="E22" s="38">
        <v>2</v>
      </c>
      <c r="F22" s="38">
        <v>2</v>
      </c>
      <c r="G22" s="37" t="s">
        <v>10</v>
      </c>
      <c r="H22" s="39"/>
    </row>
    <row r="23" spans="1:8" ht="52.8" x14ac:dyDescent="0.3">
      <c r="A23" s="38">
        <v>16</v>
      </c>
      <c r="B23" s="37" t="s">
        <v>256</v>
      </c>
      <c r="C23" s="37" t="s">
        <v>269</v>
      </c>
      <c r="D23" s="43" t="s">
        <v>287</v>
      </c>
      <c r="E23" s="40">
        <v>4</v>
      </c>
      <c r="F23" s="38">
        <v>4</v>
      </c>
      <c r="G23" s="37" t="s">
        <v>11</v>
      </c>
      <c r="H23" s="37"/>
    </row>
    <row r="24" spans="1:8" ht="26.4" x14ac:dyDescent="0.3">
      <c r="A24" s="38">
        <v>17</v>
      </c>
      <c r="B24" s="39" t="s">
        <v>288</v>
      </c>
      <c r="C24" s="37" t="s">
        <v>270</v>
      </c>
      <c r="D24" s="42" t="s">
        <v>289</v>
      </c>
      <c r="E24" s="38">
        <v>2</v>
      </c>
      <c r="F24" s="38">
        <v>2</v>
      </c>
      <c r="G24" s="37" t="s">
        <v>10</v>
      </c>
      <c r="H24" s="39"/>
    </row>
    <row r="25" spans="1:8" ht="66" x14ac:dyDescent="0.3">
      <c r="A25" s="38">
        <v>18</v>
      </c>
      <c r="B25" s="37" t="s">
        <v>317</v>
      </c>
      <c r="C25" s="37" t="s">
        <v>271</v>
      </c>
      <c r="D25" s="42" t="s">
        <v>290</v>
      </c>
      <c r="E25" s="38">
        <v>2</v>
      </c>
      <c r="F25" s="38">
        <v>50</v>
      </c>
      <c r="G25" s="37" t="s">
        <v>260</v>
      </c>
      <c r="H25" s="39"/>
    </row>
    <row r="26" spans="1:8" ht="39.6" x14ac:dyDescent="0.3">
      <c r="A26" s="38">
        <v>19</v>
      </c>
      <c r="B26" s="39" t="s">
        <v>257</v>
      </c>
      <c r="C26" s="37" t="s">
        <v>298</v>
      </c>
      <c r="D26" s="42" t="s">
        <v>258</v>
      </c>
      <c r="E26" s="38">
        <v>4</v>
      </c>
      <c r="F26" s="38">
        <v>2</v>
      </c>
      <c r="G26" s="37" t="s">
        <v>10</v>
      </c>
      <c r="H26" s="39"/>
    </row>
    <row r="27" spans="1:8" ht="39.6" x14ac:dyDescent="0.3">
      <c r="A27" s="38">
        <v>20</v>
      </c>
      <c r="B27" s="39" t="s">
        <v>296</v>
      </c>
      <c r="C27" s="37" t="s">
        <v>297</v>
      </c>
      <c r="D27" s="43" t="s">
        <v>299</v>
      </c>
      <c r="E27" s="38">
        <v>2</v>
      </c>
      <c r="F27" s="38">
        <v>1</v>
      </c>
      <c r="G27" s="37" t="s">
        <v>10</v>
      </c>
      <c r="H27" s="39"/>
    </row>
    <row r="28" spans="1:8" ht="39.6" x14ac:dyDescent="0.3">
      <c r="A28" s="38">
        <v>21</v>
      </c>
      <c r="B28" s="39" t="s">
        <v>301</v>
      </c>
      <c r="C28" s="37" t="s">
        <v>302</v>
      </c>
      <c r="D28" s="43" t="s">
        <v>318</v>
      </c>
      <c r="E28" s="38">
        <v>1</v>
      </c>
      <c r="F28" s="38">
        <v>1</v>
      </c>
      <c r="G28" s="37" t="s">
        <v>10</v>
      </c>
      <c r="H28" s="39"/>
    </row>
    <row r="29" spans="1:8" ht="66" x14ac:dyDescent="0.3">
      <c r="A29" s="38">
        <v>22</v>
      </c>
      <c r="B29" s="49" t="s">
        <v>319</v>
      </c>
      <c r="C29" s="37" t="s">
        <v>320</v>
      </c>
      <c r="D29" s="43" t="s">
        <v>321</v>
      </c>
      <c r="E29" s="38">
        <v>1</v>
      </c>
      <c r="F29" s="38">
        <v>1</v>
      </c>
      <c r="G29" s="37" t="s">
        <v>10</v>
      </c>
      <c r="H29" s="39"/>
    </row>
    <row r="30" spans="1:8" ht="105.6" x14ac:dyDescent="0.3">
      <c r="A30" s="38">
        <v>23</v>
      </c>
      <c r="B30" s="49" t="s">
        <v>333</v>
      </c>
      <c r="C30" s="37" t="s">
        <v>335</v>
      </c>
      <c r="D30" s="43" t="s">
        <v>336</v>
      </c>
      <c r="E30" s="38">
        <v>1</v>
      </c>
      <c r="F30" s="38">
        <v>1</v>
      </c>
      <c r="G30" s="37" t="s">
        <v>334</v>
      </c>
      <c r="H30" s="39"/>
    </row>
    <row r="31" spans="1:8" ht="39.6" x14ac:dyDescent="0.3">
      <c r="A31" s="38">
        <v>24</v>
      </c>
      <c r="B31" s="49" t="s">
        <v>338</v>
      </c>
      <c r="C31" s="37" t="s">
        <v>337</v>
      </c>
      <c r="D31" s="43" t="s">
        <v>339</v>
      </c>
      <c r="E31" s="38">
        <v>1</v>
      </c>
      <c r="F31" s="38">
        <v>1</v>
      </c>
      <c r="G31" s="37" t="s">
        <v>10</v>
      </c>
      <c r="H31" s="39"/>
    </row>
    <row r="32" spans="1:8" x14ac:dyDescent="0.3">
      <c r="A32" s="38"/>
      <c r="B32" s="39"/>
      <c r="C32" s="37"/>
      <c r="D32" s="42"/>
      <c r="E32" s="35">
        <f>SUM(E8:E31)</f>
        <v>57</v>
      </c>
      <c r="F32" s="35">
        <f>SUM(F8:F31)</f>
        <v>95</v>
      </c>
      <c r="G32" s="37"/>
      <c r="H32" s="39"/>
    </row>
    <row r="40" spans="2:2" x14ac:dyDescent="0.3">
      <c r="B40" s="1" t="s">
        <v>324</v>
      </c>
    </row>
    <row r="41" spans="2:2" x14ac:dyDescent="0.3">
      <c r="B41" s="48" t="s">
        <v>325</v>
      </c>
    </row>
  </sheetData>
  <mergeCells count="10">
    <mergeCell ref="A6:A7"/>
    <mergeCell ref="B6:B7"/>
    <mergeCell ref="C6:C7"/>
    <mergeCell ref="D6:D7"/>
    <mergeCell ref="E6:F6"/>
    <mergeCell ref="A1:H1"/>
    <mergeCell ref="A2:H2"/>
    <mergeCell ref="A3:H3"/>
    <mergeCell ref="A4:H4"/>
    <mergeCell ref="A5:H5"/>
  </mergeCells>
  <phoneticPr fontId="10" type="noConversion"/>
  <pageMargins left="0.70866141732283472" right="0.70866141732283472" top="0.74803149606299213" bottom="0.74803149606299213" header="0.31496062992125984" footer="0.31496062992125984"/>
  <pageSetup paperSize="9" scale="50"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F33A-99A5-4A3D-AABB-C8FC2881BABE}">
  <sheetPr>
    <pageSetUpPr fitToPage="1"/>
  </sheetPr>
  <dimension ref="A1:G14"/>
  <sheetViews>
    <sheetView topLeftCell="A4" zoomScale="80" zoomScaleNormal="80" workbookViewId="0">
      <selection activeCell="A5" sqref="A5:G5"/>
    </sheetView>
  </sheetViews>
  <sheetFormatPr baseColWidth="10" defaultRowHeight="14.4" x14ac:dyDescent="0.3"/>
  <cols>
    <col min="1" max="1" width="4.21875" bestFit="1" customWidth="1"/>
    <col min="2" max="2" width="10.21875" bestFit="1" customWidth="1"/>
    <col min="3" max="3" width="48.21875" customWidth="1"/>
    <col min="4" max="4" width="52.21875" customWidth="1"/>
    <col min="5" max="5" width="20" customWidth="1"/>
    <col min="6" max="6" width="15.21875" customWidth="1"/>
    <col min="7" max="7" width="11.77734375" customWidth="1"/>
  </cols>
  <sheetData>
    <row r="1" spans="1:7" ht="17.399999999999999" x14ac:dyDescent="0.3">
      <c r="A1" s="50" t="s">
        <v>326</v>
      </c>
      <c r="B1" s="50"/>
      <c r="C1" s="50"/>
      <c r="D1" s="50"/>
      <c r="E1" s="50"/>
      <c r="F1" s="50"/>
      <c r="G1" s="50"/>
    </row>
    <row r="2" spans="1:7" x14ac:dyDescent="0.3">
      <c r="A2" s="51" t="s">
        <v>328</v>
      </c>
      <c r="B2" s="51"/>
      <c r="C2" s="51"/>
      <c r="D2" s="51"/>
      <c r="E2" s="51"/>
      <c r="F2" s="51"/>
      <c r="G2" s="51"/>
    </row>
    <row r="3" spans="1:7" x14ac:dyDescent="0.3">
      <c r="A3" s="51" t="s">
        <v>327</v>
      </c>
      <c r="B3" s="51"/>
      <c r="C3" s="51"/>
      <c r="D3" s="51"/>
      <c r="E3" s="51"/>
      <c r="F3" s="51"/>
      <c r="G3" s="51"/>
    </row>
    <row r="4" spans="1:7" x14ac:dyDescent="0.3">
      <c r="A4" s="52" t="s">
        <v>329</v>
      </c>
      <c r="B4" s="52"/>
      <c r="C4" s="52"/>
      <c r="D4" s="52"/>
      <c r="E4" s="52"/>
      <c r="F4" s="52"/>
      <c r="G4" s="52"/>
    </row>
    <row r="5" spans="1:7" x14ac:dyDescent="0.3">
      <c r="A5" s="53" t="s">
        <v>331</v>
      </c>
      <c r="B5" s="54"/>
      <c r="C5" s="54"/>
      <c r="D5" s="54"/>
      <c r="E5" s="54"/>
      <c r="F5" s="54"/>
      <c r="G5" s="54"/>
    </row>
    <row r="6" spans="1:7" ht="20.399999999999999" x14ac:dyDescent="0.3">
      <c r="A6" s="20" t="s">
        <v>121</v>
      </c>
      <c r="B6" s="21" t="s">
        <v>122</v>
      </c>
      <c r="C6" s="21" t="s">
        <v>123</v>
      </c>
      <c r="D6" s="21" t="s">
        <v>124</v>
      </c>
      <c r="E6" s="21" t="s">
        <v>125</v>
      </c>
      <c r="F6" s="21" t="s">
        <v>126</v>
      </c>
      <c r="G6" s="21" t="s">
        <v>127</v>
      </c>
    </row>
    <row r="7" spans="1:7" ht="61.2" x14ac:dyDescent="0.3">
      <c r="A7" s="22">
        <v>1</v>
      </c>
      <c r="B7" s="23" t="s">
        <v>128</v>
      </c>
      <c r="C7" s="23" t="s">
        <v>129</v>
      </c>
      <c r="D7" s="23" t="s">
        <v>130</v>
      </c>
      <c r="E7" s="23" t="s">
        <v>131</v>
      </c>
      <c r="F7" s="23" t="s">
        <v>132</v>
      </c>
      <c r="G7" s="22" t="s">
        <v>133</v>
      </c>
    </row>
    <row r="8" spans="1:7" ht="51" x14ac:dyDescent="0.3">
      <c r="A8" s="22">
        <v>2</v>
      </c>
      <c r="B8" s="23" t="s">
        <v>134</v>
      </c>
      <c r="C8" s="23" t="s">
        <v>135</v>
      </c>
      <c r="D8" s="23" t="s">
        <v>136</v>
      </c>
      <c r="E8" s="23" t="s">
        <v>137</v>
      </c>
      <c r="F8" s="23" t="s">
        <v>138</v>
      </c>
      <c r="G8" s="24" t="s">
        <v>133</v>
      </c>
    </row>
    <row r="9" spans="1:7" ht="71.400000000000006" x14ac:dyDescent="0.3">
      <c r="A9" s="22">
        <v>3</v>
      </c>
      <c r="B9" s="23" t="s">
        <v>139</v>
      </c>
      <c r="C9" s="23" t="s">
        <v>140</v>
      </c>
      <c r="D9" s="23" t="s">
        <v>141</v>
      </c>
      <c r="E9" s="23" t="s">
        <v>142</v>
      </c>
      <c r="F9" s="23" t="s">
        <v>143</v>
      </c>
      <c r="G9" s="24" t="s">
        <v>133</v>
      </c>
    </row>
    <row r="10" spans="1:7" ht="51" x14ac:dyDescent="0.3">
      <c r="A10" s="22">
        <v>4</v>
      </c>
      <c r="B10" s="23" t="s">
        <v>144</v>
      </c>
      <c r="C10" s="23" t="s">
        <v>145</v>
      </c>
      <c r="D10" s="23" t="s">
        <v>146</v>
      </c>
      <c r="E10" s="23" t="s">
        <v>147</v>
      </c>
      <c r="F10" s="23" t="s">
        <v>148</v>
      </c>
      <c r="G10" s="24" t="s">
        <v>133</v>
      </c>
    </row>
    <row r="11" spans="1:7" ht="61.2" x14ac:dyDescent="0.3">
      <c r="A11" s="22">
        <v>5</v>
      </c>
      <c r="B11" s="23" t="s">
        <v>149</v>
      </c>
      <c r="C11" s="23" t="s">
        <v>150</v>
      </c>
      <c r="D11" s="23" t="s">
        <v>151</v>
      </c>
      <c r="E11" s="23" t="s">
        <v>152</v>
      </c>
      <c r="F11" s="23" t="s">
        <v>153</v>
      </c>
      <c r="G11" s="24" t="s">
        <v>133</v>
      </c>
    </row>
    <row r="12" spans="1:7" ht="30.6" x14ac:dyDescent="0.3">
      <c r="A12" s="22">
        <v>6</v>
      </c>
      <c r="B12" s="23" t="s">
        <v>154</v>
      </c>
      <c r="C12" s="23" t="s">
        <v>155</v>
      </c>
      <c r="D12" s="23" t="s">
        <v>156</v>
      </c>
      <c r="E12" s="23" t="s">
        <v>157</v>
      </c>
      <c r="F12" s="23" t="s">
        <v>158</v>
      </c>
      <c r="G12" s="24" t="s">
        <v>133</v>
      </c>
    </row>
    <row r="13" spans="1:7" ht="71.400000000000006" x14ac:dyDescent="0.3">
      <c r="A13" s="22">
        <v>7</v>
      </c>
      <c r="B13" s="23" t="s">
        <v>159</v>
      </c>
      <c r="C13" s="23" t="s">
        <v>160</v>
      </c>
      <c r="D13" s="23" t="s">
        <v>161</v>
      </c>
      <c r="E13" s="23" t="s">
        <v>162</v>
      </c>
      <c r="F13" s="23" t="s">
        <v>163</v>
      </c>
      <c r="G13" s="24" t="s">
        <v>133</v>
      </c>
    </row>
    <row r="14" spans="1:7" x14ac:dyDescent="0.3">
      <c r="B14" s="25"/>
      <c r="C14" s="25"/>
      <c r="D14" s="25"/>
      <c r="E14" s="25"/>
      <c r="F14" s="25"/>
    </row>
  </sheetData>
  <mergeCells count="5">
    <mergeCell ref="A1:G1"/>
    <mergeCell ref="A2:G2"/>
    <mergeCell ref="A3:G3"/>
    <mergeCell ref="A4:G4"/>
    <mergeCell ref="A5:G5"/>
  </mergeCells>
  <pageMargins left="0.70866141732283472" right="0.70866141732283472" top="0.74803149606299213" bottom="0.74803149606299213" header="0.31496062992125984" footer="0.31496062992125984"/>
  <pageSetup paperSize="9" scale="8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E76F-D9F1-4DD9-A6AD-7DB078D0F952}">
  <sheetPr>
    <pageSetUpPr fitToPage="1"/>
  </sheetPr>
  <dimension ref="A1:H47"/>
  <sheetViews>
    <sheetView workbookViewId="0">
      <selection activeCell="C12" sqref="C12"/>
    </sheetView>
  </sheetViews>
  <sheetFormatPr baseColWidth="10" defaultRowHeight="14.4" x14ac:dyDescent="0.3"/>
  <cols>
    <col min="1" max="1" width="3.21875" bestFit="1" customWidth="1"/>
    <col min="2" max="2" width="57" customWidth="1"/>
    <col min="3" max="3" width="30.77734375" customWidth="1"/>
    <col min="4" max="4" width="14.21875" customWidth="1"/>
    <col min="5" max="5" width="13.77734375" bestFit="1" customWidth="1"/>
    <col min="6" max="7" width="0" hidden="1" customWidth="1"/>
    <col min="8" max="8" width="13" customWidth="1"/>
  </cols>
  <sheetData>
    <row r="1" spans="1:8" ht="17.399999999999999" x14ac:dyDescent="0.3">
      <c r="A1" s="50" t="s">
        <v>326</v>
      </c>
      <c r="B1" s="50"/>
      <c r="C1" s="50"/>
      <c r="D1" s="50"/>
      <c r="E1" s="50"/>
      <c r="F1" s="50"/>
      <c r="G1" s="50"/>
      <c r="H1" s="50"/>
    </row>
    <row r="2" spans="1:8" x14ac:dyDescent="0.3">
      <c r="A2" s="51" t="s">
        <v>328</v>
      </c>
      <c r="B2" s="51"/>
      <c r="C2" s="51"/>
      <c r="D2" s="51"/>
      <c r="E2" s="51"/>
      <c r="F2" s="51"/>
      <c r="G2" s="51"/>
      <c r="H2" s="51"/>
    </row>
    <row r="3" spans="1:8" x14ac:dyDescent="0.3">
      <c r="A3" s="51" t="s">
        <v>327</v>
      </c>
      <c r="B3" s="51"/>
      <c r="C3" s="51"/>
      <c r="D3" s="51"/>
      <c r="E3" s="51"/>
      <c r="F3" s="51"/>
      <c r="G3" s="51"/>
      <c r="H3" s="51"/>
    </row>
    <row r="4" spans="1:8" x14ac:dyDescent="0.3">
      <c r="A4" s="52" t="s">
        <v>329</v>
      </c>
      <c r="B4" s="52"/>
      <c r="C4" s="52"/>
      <c r="D4" s="52"/>
      <c r="E4" s="52"/>
      <c r="F4" s="52"/>
      <c r="G4" s="52"/>
      <c r="H4" s="52"/>
    </row>
    <row r="5" spans="1:8" x14ac:dyDescent="0.3">
      <c r="A5" s="53" t="s">
        <v>332</v>
      </c>
      <c r="B5" s="54"/>
      <c r="C5" s="54"/>
      <c r="D5" s="54"/>
      <c r="E5" s="54"/>
      <c r="F5" s="54"/>
      <c r="G5" s="54"/>
      <c r="H5" s="54"/>
    </row>
    <row r="6" spans="1:8" ht="24" x14ac:dyDescent="0.3">
      <c r="A6" s="7" t="s">
        <v>7</v>
      </c>
      <c r="B6" s="8" t="s">
        <v>12</v>
      </c>
      <c r="C6" s="8" t="s">
        <v>13</v>
      </c>
      <c r="D6" s="8" t="s">
        <v>14</v>
      </c>
      <c r="E6" s="8" t="s">
        <v>15</v>
      </c>
      <c r="F6" s="8" t="s">
        <v>16</v>
      </c>
      <c r="G6" s="7" t="s">
        <v>17</v>
      </c>
      <c r="H6" s="8" t="s">
        <v>18</v>
      </c>
    </row>
    <row r="7" spans="1:8" ht="48" x14ac:dyDescent="0.3">
      <c r="A7" s="9">
        <v>1</v>
      </c>
      <c r="B7" s="14" t="s">
        <v>19</v>
      </c>
      <c r="C7" s="15" t="s">
        <v>20</v>
      </c>
      <c r="D7" s="15"/>
      <c r="E7" s="19"/>
      <c r="F7" s="16"/>
      <c r="G7" s="16"/>
      <c r="H7" s="15"/>
    </row>
    <row r="8" spans="1:8" ht="24" x14ac:dyDescent="0.3">
      <c r="A8" s="9">
        <v>2</v>
      </c>
      <c r="B8" s="10" t="s">
        <v>21</v>
      </c>
      <c r="C8" s="11" t="s">
        <v>22</v>
      </c>
      <c r="D8" s="11"/>
      <c r="E8" s="18" t="s">
        <v>120</v>
      </c>
      <c r="F8" s="12"/>
      <c r="G8" s="12"/>
      <c r="H8" s="11"/>
    </row>
    <row r="9" spans="1:8" ht="24" x14ac:dyDescent="0.3">
      <c r="A9" s="9">
        <v>3</v>
      </c>
      <c r="B9" s="14" t="s">
        <v>23</v>
      </c>
      <c r="C9" s="15" t="s">
        <v>24</v>
      </c>
      <c r="D9" s="15"/>
      <c r="E9" s="19"/>
      <c r="F9" s="16"/>
      <c r="G9" s="16"/>
      <c r="H9" s="15"/>
    </row>
    <row r="10" spans="1:8" ht="24" x14ac:dyDescent="0.3">
      <c r="A10" s="9">
        <v>4</v>
      </c>
      <c r="B10" s="10" t="s">
        <v>25</v>
      </c>
      <c r="C10" s="11" t="s">
        <v>26</v>
      </c>
      <c r="D10" s="11"/>
      <c r="E10" s="18" t="s">
        <v>116</v>
      </c>
      <c r="F10" s="12"/>
      <c r="G10" s="12"/>
      <c r="H10" s="11"/>
    </row>
    <row r="11" spans="1:8" ht="24" x14ac:dyDescent="0.3">
      <c r="A11" s="9">
        <v>5</v>
      </c>
      <c r="B11" s="10" t="s">
        <v>27</v>
      </c>
      <c r="C11" s="11" t="s">
        <v>28</v>
      </c>
      <c r="D11" s="11"/>
      <c r="E11" s="18" t="s">
        <v>119</v>
      </c>
      <c r="F11" s="12"/>
      <c r="G11" s="12"/>
      <c r="H11" s="11"/>
    </row>
    <row r="12" spans="1:8" ht="24" x14ac:dyDescent="0.3">
      <c r="A12" s="9">
        <v>6</v>
      </c>
      <c r="B12" s="10" t="s">
        <v>29</v>
      </c>
      <c r="C12" s="11" t="s">
        <v>30</v>
      </c>
      <c r="D12" s="11"/>
      <c r="E12" s="18" t="s">
        <v>118</v>
      </c>
      <c r="F12" s="12"/>
      <c r="G12" s="12"/>
      <c r="H12" s="11"/>
    </row>
    <row r="13" spans="1:8" x14ac:dyDescent="0.3">
      <c r="A13" s="9">
        <v>7</v>
      </c>
      <c r="B13" s="10" t="s">
        <v>31</v>
      </c>
      <c r="C13" s="11" t="s">
        <v>32</v>
      </c>
      <c r="D13" s="11"/>
      <c r="E13" s="18" t="s">
        <v>117</v>
      </c>
      <c r="F13" s="12"/>
      <c r="G13" s="12"/>
      <c r="H13" s="11"/>
    </row>
    <row r="14" spans="1:8" x14ac:dyDescent="0.3">
      <c r="A14" s="9">
        <v>8</v>
      </c>
      <c r="B14" s="10" t="s">
        <v>33</v>
      </c>
      <c r="C14" s="11" t="s">
        <v>26</v>
      </c>
      <c r="D14" s="11"/>
      <c r="E14" s="18" t="s">
        <v>116</v>
      </c>
      <c r="F14" s="12"/>
      <c r="G14" s="12"/>
      <c r="H14" s="11"/>
    </row>
    <row r="15" spans="1:8" x14ac:dyDescent="0.3">
      <c r="A15" s="9">
        <v>9</v>
      </c>
      <c r="B15" s="10" t="s">
        <v>34</v>
      </c>
      <c r="C15" s="11" t="s">
        <v>35</v>
      </c>
      <c r="D15" s="11"/>
      <c r="E15" s="18" t="s">
        <v>36</v>
      </c>
      <c r="F15" s="12"/>
      <c r="G15" s="12"/>
      <c r="H15" s="11"/>
    </row>
    <row r="16" spans="1:8" x14ac:dyDescent="0.3">
      <c r="A16" s="9">
        <v>10</v>
      </c>
      <c r="B16" s="14" t="s">
        <v>37</v>
      </c>
      <c r="C16" s="15"/>
      <c r="D16" s="15"/>
      <c r="E16" s="19"/>
      <c r="F16" s="16"/>
      <c r="G16" s="16"/>
      <c r="H16" s="15"/>
    </row>
    <row r="17" spans="1:8" x14ac:dyDescent="0.3">
      <c r="A17" s="9">
        <v>11</v>
      </c>
      <c r="B17" s="10" t="s">
        <v>38</v>
      </c>
      <c r="C17" s="11" t="s">
        <v>39</v>
      </c>
      <c r="D17" s="11"/>
      <c r="E17" s="18" t="s">
        <v>115</v>
      </c>
      <c r="F17" s="12"/>
      <c r="G17" s="12"/>
      <c r="H17" s="11"/>
    </row>
    <row r="18" spans="1:8" x14ac:dyDescent="0.3">
      <c r="A18" s="9">
        <v>12</v>
      </c>
      <c r="B18" s="11" t="s">
        <v>40</v>
      </c>
      <c r="C18" s="11" t="s">
        <v>41</v>
      </c>
      <c r="D18" s="11"/>
      <c r="E18" s="18" t="s">
        <v>114</v>
      </c>
      <c r="F18" s="12"/>
      <c r="G18" s="12"/>
      <c r="H18" s="11"/>
    </row>
    <row r="19" spans="1:8" x14ac:dyDescent="0.3">
      <c r="A19" s="9">
        <v>13</v>
      </c>
      <c r="B19" s="11" t="s">
        <v>42</v>
      </c>
      <c r="C19" s="11" t="s">
        <v>43</v>
      </c>
      <c r="D19" s="11"/>
      <c r="E19" s="18" t="s">
        <v>113</v>
      </c>
      <c r="F19" s="12"/>
      <c r="G19" s="12"/>
      <c r="H19" s="11"/>
    </row>
    <row r="20" spans="1:8" x14ac:dyDescent="0.3">
      <c r="A20" s="9">
        <v>14</v>
      </c>
      <c r="B20" s="11" t="s">
        <v>44</v>
      </c>
      <c r="C20" s="11" t="s">
        <v>45</v>
      </c>
      <c r="D20" s="11"/>
      <c r="E20" s="18" t="s">
        <v>112</v>
      </c>
      <c r="F20" s="12"/>
      <c r="G20" s="12"/>
      <c r="H20" s="11"/>
    </row>
    <row r="21" spans="1:8" x14ac:dyDescent="0.3">
      <c r="A21" s="9">
        <v>15</v>
      </c>
      <c r="B21" s="11" t="s">
        <v>46</v>
      </c>
      <c r="C21" s="11" t="s">
        <v>47</v>
      </c>
      <c r="D21" s="11"/>
      <c r="E21" s="18" t="s">
        <v>111</v>
      </c>
      <c r="F21" s="12"/>
      <c r="G21" s="12"/>
      <c r="H21" s="11"/>
    </row>
    <row r="22" spans="1:8" x14ac:dyDescent="0.3">
      <c r="A22" s="9">
        <v>16</v>
      </c>
      <c r="B22" s="15" t="s">
        <v>48</v>
      </c>
      <c r="C22" s="15" t="s">
        <v>49</v>
      </c>
      <c r="D22" s="15"/>
      <c r="E22" s="19"/>
      <c r="F22" s="16"/>
      <c r="G22" s="16"/>
      <c r="H22" s="15"/>
    </row>
    <row r="23" spans="1:8" x14ac:dyDescent="0.3">
      <c r="A23" s="9">
        <v>17</v>
      </c>
      <c r="B23" s="11" t="s">
        <v>50</v>
      </c>
      <c r="C23" s="11" t="s">
        <v>51</v>
      </c>
      <c r="D23" s="11"/>
      <c r="E23" s="18" t="s">
        <v>110</v>
      </c>
      <c r="F23" s="12"/>
      <c r="G23" s="12"/>
      <c r="H23" s="11"/>
    </row>
    <row r="24" spans="1:8" x14ac:dyDescent="0.3">
      <c r="A24" s="9">
        <v>18</v>
      </c>
      <c r="B24" s="11" t="s">
        <v>52</v>
      </c>
      <c r="C24" s="11" t="s">
        <v>53</v>
      </c>
      <c r="D24" s="11"/>
      <c r="E24" s="18" t="s">
        <v>109</v>
      </c>
      <c r="F24" s="12"/>
      <c r="G24" s="12"/>
      <c r="H24" s="11"/>
    </row>
    <row r="25" spans="1:8" x14ac:dyDescent="0.3">
      <c r="A25" s="9">
        <v>19</v>
      </c>
      <c r="B25" s="15" t="s">
        <v>54</v>
      </c>
      <c r="C25" s="15" t="s">
        <v>55</v>
      </c>
      <c r="D25" s="15"/>
      <c r="E25" s="19"/>
      <c r="F25" s="16"/>
      <c r="G25" s="16"/>
      <c r="H25" s="15"/>
    </row>
    <row r="26" spans="1:8" x14ac:dyDescent="0.3">
      <c r="A26" s="9">
        <v>20</v>
      </c>
      <c r="B26" s="11" t="s">
        <v>56</v>
      </c>
      <c r="C26" s="11" t="s">
        <v>57</v>
      </c>
      <c r="D26" s="11"/>
      <c r="E26" s="18" t="s">
        <v>108</v>
      </c>
      <c r="F26" s="12"/>
      <c r="G26" s="12"/>
      <c r="H26" s="11"/>
    </row>
    <row r="27" spans="1:8" x14ac:dyDescent="0.3">
      <c r="A27" s="9">
        <v>21</v>
      </c>
      <c r="B27" s="11" t="s">
        <v>58</v>
      </c>
      <c r="C27" s="11" t="s">
        <v>59</v>
      </c>
      <c r="D27" s="11"/>
      <c r="E27" s="18" t="s">
        <v>107</v>
      </c>
      <c r="F27" s="12"/>
      <c r="G27" s="12"/>
      <c r="H27" s="11"/>
    </row>
    <row r="28" spans="1:8" x14ac:dyDescent="0.3">
      <c r="A28" s="9">
        <v>22</v>
      </c>
      <c r="B28" s="11" t="s">
        <v>60</v>
      </c>
      <c r="C28" s="11" t="s">
        <v>61</v>
      </c>
      <c r="D28" s="11"/>
      <c r="E28" s="18" t="s">
        <v>106</v>
      </c>
      <c r="F28" s="12"/>
      <c r="G28" s="12"/>
      <c r="H28" s="11"/>
    </row>
    <row r="29" spans="1:8" ht="24" x14ac:dyDescent="0.3">
      <c r="A29" s="9">
        <v>23</v>
      </c>
      <c r="B29" s="15" t="s">
        <v>62</v>
      </c>
      <c r="C29" s="15" t="s">
        <v>63</v>
      </c>
      <c r="D29" s="15"/>
      <c r="E29" s="19"/>
      <c r="F29" s="16"/>
      <c r="G29" s="16"/>
      <c r="H29" s="15"/>
    </row>
    <row r="30" spans="1:8" ht="24" x14ac:dyDescent="0.3">
      <c r="A30" s="9">
        <v>24</v>
      </c>
      <c r="B30" s="15" t="s">
        <v>64</v>
      </c>
      <c r="C30" s="15" t="s">
        <v>65</v>
      </c>
      <c r="D30" s="15"/>
      <c r="E30" s="19"/>
      <c r="F30" s="16"/>
      <c r="G30" s="16"/>
      <c r="H30" s="15"/>
    </row>
    <row r="31" spans="1:8" ht="24" x14ac:dyDescent="0.3">
      <c r="A31" s="9">
        <v>25</v>
      </c>
      <c r="B31" s="15" t="s">
        <v>66</v>
      </c>
      <c r="C31" s="15" t="s">
        <v>67</v>
      </c>
      <c r="D31" s="15"/>
      <c r="E31" s="19"/>
      <c r="F31" s="16"/>
      <c r="G31" s="16"/>
      <c r="H31" s="15"/>
    </row>
    <row r="32" spans="1:8" x14ac:dyDescent="0.3">
      <c r="A32" s="9">
        <v>26</v>
      </c>
      <c r="B32" s="11" t="s">
        <v>68</v>
      </c>
      <c r="C32" s="11" t="s">
        <v>69</v>
      </c>
      <c r="D32" s="11"/>
      <c r="E32" s="18" t="s">
        <v>105</v>
      </c>
      <c r="F32" s="12"/>
      <c r="G32" s="12"/>
      <c r="H32" s="11"/>
    </row>
    <row r="33" spans="1:8" x14ac:dyDescent="0.3">
      <c r="A33" s="9">
        <v>27</v>
      </c>
      <c r="B33" s="11" t="s">
        <v>70</v>
      </c>
      <c r="C33" s="11" t="s">
        <v>71</v>
      </c>
      <c r="D33" s="11"/>
      <c r="E33" s="18" t="s">
        <v>104</v>
      </c>
      <c r="F33" s="12"/>
      <c r="G33" s="12"/>
      <c r="H33" s="11"/>
    </row>
    <row r="34" spans="1:8" x14ac:dyDescent="0.3">
      <c r="A34" s="9">
        <v>28</v>
      </c>
      <c r="B34" s="11" t="s">
        <v>72</v>
      </c>
      <c r="C34" s="11" t="s">
        <v>73</v>
      </c>
      <c r="D34" s="11"/>
      <c r="E34" s="18" t="s">
        <v>103</v>
      </c>
      <c r="F34" s="12"/>
      <c r="G34" s="12"/>
      <c r="H34" s="11"/>
    </row>
    <row r="35" spans="1:8" x14ac:dyDescent="0.3">
      <c r="A35" s="9">
        <v>29</v>
      </c>
      <c r="B35" s="11" t="s">
        <v>74</v>
      </c>
      <c r="C35" s="11" t="s">
        <v>75</v>
      </c>
      <c r="D35" s="11"/>
      <c r="E35" s="18" t="s">
        <v>102</v>
      </c>
      <c r="F35" s="12"/>
      <c r="G35" s="12"/>
      <c r="H35" s="11"/>
    </row>
    <row r="36" spans="1:8" x14ac:dyDescent="0.3">
      <c r="A36" s="9">
        <v>30</v>
      </c>
      <c r="B36" s="11" t="s">
        <v>76</v>
      </c>
      <c r="C36" s="11" t="s">
        <v>77</v>
      </c>
      <c r="D36" s="11"/>
      <c r="E36" s="18" t="s">
        <v>101</v>
      </c>
      <c r="F36" s="12"/>
      <c r="G36" s="12"/>
      <c r="H36" s="11"/>
    </row>
    <row r="37" spans="1:8" ht="24" x14ac:dyDescent="0.3">
      <c r="A37" s="9">
        <v>31</v>
      </c>
      <c r="B37" s="15" t="s">
        <v>78</v>
      </c>
      <c r="C37" s="15" t="s">
        <v>79</v>
      </c>
      <c r="D37" s="15"/>
      <c r="E37" s="19"/>
      <c r="F37" s="16"/>
      <c r="G37" s="16"/>
      <c r="H37" s="15"/>
    </row>
    <row r="38" spans="1:8" ht="24" x14ac:dyDescent="0.3">
      <c r="A38" s="9">
        <v>32</v>
      </c>
      <c r="B38" s="11" t="s">
        <v>80</v>
      </c>
      <c r="C38" s="11" t="s">
        <v>81</v>
      </c>
      <c r="D38" s="11"/>
      <c r="E38" s="18" t="s">
        <v>100</v>
      </c>
      <c r="F38" s="12"/>
      <c r="G38" s="12"/>
      <c r="H38" s="11"/>
    </row>
    <row r="39" spans="1:8" x14ac:dyDescent="0.3">
      <c r="A39" s="9">
        <v>33</v>
      </c>
      <c r="B39" s="11" t="s">
        <v>82</v>
      </c>
      <c r="C39" s="11" t="s">
        <v>83</v>
      </c>
      <c r="D39" s="11"/>
      <c r="E39" s="18" t="s">
        <v>99</v>
      </c>
      <c r="F39" s="12"/>
      <c r="G39" s="12"/>
      <c r="H39" s="11"/>
    </row>
    <row r="40" spans="1:8" x14ac:dyDescent="0.3">
      <c r="A40" s="9">
        <v>34</v>
      </c>
      <c r="B40" s="11" t="s">
        <v>84</v>
      </c>
      <c r="C40" s="11" t="s">
        <v>85</v>
      </c>
      <c r="D40" s="11"/>
      <c r="E40" s="18" t="s">
        <v>98</v>
      </c>
      <c r="F40" s="12"/>
      <c r="G40" s="12"/>
      <c r="H40" s="11"/>
    </row>
    <row r="41" spans="1:8" x14ac:dyDescent="0.3">
      <c r="A41" s="9">
        <v>35</v>
      </c>
      <c r="B41" s="11" t="s">
        <v>86</v>
      </c>
      <c r="C41" s="11" t="s">
        <v>87</v>
      </c>
      <c r="D41" s="11"/>
      <c r="E41" s="18" t="s">
        <v>97</v>
      </c>
      <c r="F41" s="12"/>
      <c r="G41" s="12"/>
      <c r="H41" s="11"/>
    </row>
    <row r="42" spans="1:8" x14ac:dyDescent="0.3">
      <c r="A42" s="9">
        <v>36</v>
      </c>
      <c r="B42" s="11" t="s">
        <v>88</v>
      </c>
      <c r="C42" s="11" t="s">
        <v>89</v>
      </c>
      <c r="D42" s="11"/>
      <c r="E42" s="18" t="s">
        <v>96</v>
      </c>
      <c r="F42" s="12"/>
      <c r="G42" s="12"/>
      <c r="H42" s="11"/>
    </row>
    <row r="43" spans="1:8" x14ac:dyDescent="0.3">
      <c r="A43" s="9">
        <v>37</v>
      </c>
      <c r="B43" s="11" t="s">
        <v>90</v>
      </c>
      <c r="C43" s="11" t="s">
        <v>91</v>
      </c>
      <c r="D43" s="11"/>
      <c r="E43" s="18" t="s">
        <v>95</v>
      </c>
      <c r="F43" s="12"/>
      <c r="G43" s="12"/>
      <c r="H43" s="11"/>
    </row>
    <row r="44" spans="1:8" x14ac:dyDescent="0.3">
      <c r="A44" s="9">
        <v>38</v>
      </c>
      <c r="B44" s="11" t="s">
        <v>92</v>
      </c>
      <c r="C44" s="11" t="s">
        <v>93</v>
      </c>
      <c r="D44" s="2"/>
      <c r="E44" s="13" t="s">
        <v>4</v>
      </c>
      <c r="F44" s="12"/>
      <c r="G44" s="12"/>
      <c r="H44" s="11"/>
    </row>
    <row r="45" spans="1:8" ht="24" x14ac:dyDescent="0.3">
      <c r="A45" s="9">
        <v>39</v>
      </c>
      <c r="B45" s="12" t="s">
        <v>243</v>
      </c>
      <c r="C45" s="11" t="s">
        <v>94</v>
      </c>
      <c r="D45" s="17"/>
      <c r="E45" s="13" t="s">
        <v>5</v>
      </c>
      <c r="F45" s="12"/>
      <c r="G45" s="12"/>
      <c r="H45" s="12"/>
    </row>
    <row r="46" spans="1:8" ht="24" x14ac:dyDescent="0.3">
      <c r="A46" s="9">
        <v>40</v>
      </c>
      <c r="B46" s="11" t="s">
        <v>311</v>
      </c>
      <c r="C46" s="11" t="s">
        <v>312</v>
      </c>
      <c r="D46" s="17"/>
      <c r="E46" s="18" t="s">
        <v>313</v>
      </c>
      <c r="F46" s="17"/>
      <c r="G46" s="17"/>
      <c r="H46" s="17"/>
    </row>
    <row r="47" spans="1:8" ht="24" x14ac:dyDescent="0.3">
      <c r="A47" s="46">
        <v>41</v>
      </c>
      <c r="B47" s="15" t="s">
        <v>314</v>
      </c>
      <c r="C47" s="15" t="s">
        <v>315</v>
      </c>
      <c r="D47" s="47"/>
      <c r="E47" s="47"/>
      <c r="F47" s="47"/>
      <c r="G47" s="47"/>
      <c r="H47" s="47"/>
    </row>
  </sheetData>
  <mergeCells count="5">
    <mergeCell ref="A1:H1"/>
    <mergeCell ref="A2:H2"/>
    <mergeCell ref="A3:H3"/>
    <mergeCell ref="A4:H4"/>
    <mergeCell ref="A5:H5"/>
  </mergeCells>
  <pageMargins left="0.7" right="0.7" top="0.75" bottom="0.75" header="0.3" footer="0.3"/>
  <pageSetup paperSize="9" scale="61"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PROCESO_PRACTICAS</vt:lpstr>
      <vt:lpstr>PLAZAS_LABOR_SEP_FEB_25</vt:lpstr>
      <vt:lpstr>CONV_FIE_VIGENTES</vt:lpstr>
      <vt:lpstr>CARTAS_INT_VIGENTES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Santiago Panchi</cp:lastModifiedBy>
  <cp:lastPrinted>2025-07-24T16:09:19Z</cp:lastPrinted>
  <dcterms:created xsi:type="dcterms:W3CDTF">2024-02-06T20:53:41Z</dcterms:created>
  <dcterms:modified xsi:type="dcterms:W3CDTF">2026-05-20T05:20:28Z</dcterms:modified>
</cp:coreProperties>
</file>